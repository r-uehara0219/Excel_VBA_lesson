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上原陸\Downloads\"/>
    </mc:Choice>
  </mc:AlternateContent>
  <xr:revisionPtr revIDLastSave="0" documentId="13_ncr:1_{BFC562E9-D05B-4BA0-9DDF-B00837E4A0CA}" xr6:coauthVersionLast="45" xr6:coauthVersionMax="45" xr10:uidLastSave="{00000000-0000-0000-0000-000000000000}"/>
  <bookViews>
    <workbookView xWindow="-108" yWindow="-108" windowWidth="19416" windowHeight="10416" activeTab="3" xr2:uid="{00000000-000D-0000-FFFF-FFFF00000000}"/>
  </bookViews>
  <sheets>
    <sheet name="Dot Pattern" sheetId="2" r:id="rId1"/>
    <sheet name="Perceptron" sheetId="1" r:id="rId2"/>
    <sheet name="Percep" sheetId="6" r:id="rId3"/>
    <sheet name="Solver_based" sheetId="3" r:id="rId4"/>
  </sheets>
  <definedNames>
    <definedName name="_xlnm._FilterDatabase" localSheetId="2" hidden="1">Percep!$A$4:$AQ$30</definedName>
    <definedName name="solver_cvg" localSheetId="3" hidden="1">0.0001</definedName>
    <definedName name="solver_drv" localSheetId="3" hidden="1">1</definedName>
    <definedName name="solver_eng" localSheetId="2" hidden="1">1</definedName>
    <definedName name="solver_eng" localSheetId="3" hidden="1">3</definedName>
    <definedName name="solver_est" localSheetId="3" hidden="1">1</definedName>
    <definedName name="solver_itr" localSheetId="3" hidden="1">2147483647</definedName>
    <definedName name="solver_lhs1" localSheetId="3" hidden="1">Solver_based!$AK$2:$AO$36</definedName>
    <definedName name="solver_lhs2" localSheetId="3" hidden="1">Solver_based!$AK$2:$AO$36</definedName>
    <definedName name="solver_lhs3" localSheetId="3" hidden="1">Solver_based!$AK$2:$AO$36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1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3" hidden="1">1</definedName>
    <definedName name="solver_opt" localSheetId="2" hidden="1">Percep!$A$7</definedName>
    <definedName name="solver_pre" localSheetId="3" hidden="1">0.000001</definedName>
    <definedName name="solver_rbv" localSheetId="3" hidden="1">1</definedName>
    <definedName name="solver_rel1" localSheetId="3" hidden="1">3</definedName>
    <definedName name="solver_rel2" localSheetId="3" hidden="1">3</definedName>
    <definedName name="solver_rel3" localSheetId="3" hidden="1">3</definedName>
    <definedName name="solver_rhs1" localSheetId="3" hidden="1">0</definedName>
    <definedName name="solver_rhs2" localSheetId="3" hidden="1">0</definedName>
    <definedName name="solver_rhs3" localSheetId="3" hidden="1">0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2" hidden="1">1</definedName>
    <definedName name="solver_typ" localSheetId="3" hidden="1">2</definedName>
    <definedName name="solver_val" localSheetId="2" hidden="1">0</definedName>
    <definedName name="solver_val" localSheetId="3" hidden="1">0</definedName>
    <definedName name="solver_ver" localSheetId="2" hidden="1">3</definedName>
    <definedName name="solver_ver" localSheetId="3" hidden="1">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K38" i="3" l="1" a="1"/>
  <c r="AL38" i="3" s="1"/>
  <c r="AX38" i="3" s="1"/>
  <c r="BD38" i="3" s="1"/>
  <c r="AM40" i="3" l="1"/>
  <c r="AY40" i="3" s="1"/>
  <c r="BE40" i="3" s="1"/>
  <c r="AM39" i="3"/>
  <c r="AY39" i="3" s="1"/>
  <c r="BE39" i="3" s="1"/>
  <c r="AL40" i="3"/>
  <c r="AX40" i="3" s="1"/>
  <c r="BD40" i="3" s="1"/>
  <c r="AN38" i="3"/>
  <c r="AZ38" i="3" s="1"/>
  <c r="BF38" i="3" s="1"/>
  <c r="AO38" i="3"/>
  <c r="BA38" i="3" s="1"/>
  <c r="BG38" i="3" s="1"/>
  <c r="AN39" i="3"/>
  <c r="AZ39" i="3" s="1"/>
  <c r="BF39" i="3" s="1"/>
  <c r="AK38" i="3"/>
  <c r="AW38" i="3" s="1"/>
  <c r="BC38" i="3" s="1"/>
  <c r="AO40" i="3"/>
  <c r="BA40" i="3" s="1"/>
  <c r="BG40" i="3" s="1"/>
  <c r="AK40" i="3"/>
  <c r="AW40" i="3" s="1"/>
  <c r="BC40" i="3" s="1"/>
  <c r="AL39" i="3"/>
  <c r="AX39" i="3" s="1"/>
  <c r="BD39" i="3" s="1"/>
  <c r="AM38" i="3"/>
  <c r="AY38" i="3" s="1"/>
  <c r="BE38" i="3" s="1"/>
  <c r="AN40" i="3"/>
  <c r="AZ40" i="3" s="1"/>
  <c r="BF40" i="3" s="1"/>
  <c r="AO39" i="3"/>
  <c r="BA39" i="3" s="1"/>
  <c r="BG39" i="3" s="1"/>
  <c r="AK39" i="3"/>
  <c r="AW39" i="3" s="1"/>
  <c r="BC39" i="3" s="1"/>
  <c r="BC42" i="3" l="1"/>
</calcChain>
</file>

<file path=xl/sharedStrings.xml><?xml version="1.0" encoding="utf-8"?>
<sst xmlns="http://schemas.openxmlformats.org/spreadsheetml/2006/main" count="151" uniqueCount="141">
  <si>
    <t>A</t>
    <phoneticPr fontId="0" type="Hiragana"/>
  </si>
  <si>
    <t>B</t>
    <phoneticPr fontId="0" type="Hiragana"/>
  </si>
  <si>
    <t>C</t>
    <phoneticPr fontId="0" type="Hiragana"/>
  </si>
  <si>
    <t>D</t>
    <phoneticPr fontId="0" type="Hiragana"/>
  </si>
  <si>
    <t>E</t>
    <phoneticPr fontId="0" type="Hiragana"/>
  </si>
  <si>
    <t>F</t>
    <phoneticPr fontId="0" type="Hiragana"/>
  </si>
  <si>
    <t>G</t>
    <phoneticPr fontId="0" type="Hiragana"/>
  </si>
  <si>
    <t>H</t>
    <phoneticPr fontId="0" type="Hiragana"/>
  </si>
  <si>
    <t>I</t>
    <phoneticPr fontId="0" type="Hiragana"/>
  </si>
  <si>
    <t>J</t>
    <phoneticPr fontId="0" type="Hiragana"/>
  </si>
  <si>
    <t>K</t>
    <phoneticPr fontId="0" type="Hiragana"/>
  </si>
  <si>
    <t>L</t>
    <phoneticPr fontId="0" type="Hiragana"/>
  </si>
  <si>
    <t>M</t>
    <phoneticPr fontId="0" type="Hiragana"/>
  </si>
  <si>
    <t>N</t>
    <phoneticPr fontId="0" type="Hiragana"/>
  </si>
  <si>
    <t>O</t>
    <phoneticPr fontId="0" type="Hiragana"/>
  </si>
  <si>
    <t>P</t>
    <phoneticPr fontId="0" type="Hiragana"/>
  </si>
  <si>
    <t>Q</t>
    <phoneticPr fontId="0" type="Hiragana"/>
  </si>
  <si>
    <t>R</t>
    <phoneticPr fontId="0" type="Hiragana"/>
  </si>
  <si>
    <t>S</t>
    <phoneticPr fontId="0" type="Hiragana"/>
  </si>
  <si>
    <t>T</t>
    <phoneticPr fontId="0" type="Hiragana"/>
  </si>
  <si>
    <t>U</t>
    <phoneticPr fontId="0" type="Hiragana"/>
  </si>
  <si>
    <t>V</t>
    <phoneticPr fontId="0" type="Hiragana"/>
  </si>
  <si>
    <t>W</t>
    <phoneticPr fontId="0" type="Hiragana"/>
  </si>
  <si>
    <t>X</t>
    <phoneticPr fontId="0" type="Hiragana"/>
  </si>
  <si>
    <t>Y</t>
    <phoneticPr fontId="0" type="Hiragana"/>
  </si>
  <si>
    <t>Z</t>
    <phoneticPr fontId="0" type="Hiragana"/>
  </si>
  <si>
    <t>Bit Pattern Matrix : M</t>
    <phoneticPr fontId="0" type="Hiragana"/>
  </si>
  <si>
    <t>Mは26×35、Rは26×5　なので、Wは35×5</t>
    <phoneticPr fontId="0" type="Hiragana"/>
  </si>
  <si>
    <t>Perceptronによる文字認識</t>
    <rPh sb="0" eb="0">
      <t/>
    </rPh>
    <rPh sb="0" eb="0">
      <t/>
    </rPh>
    <phoneticPr fontId="0" type="Hiragana"/>
  </si>
  <si>
    <t>↓</t>
    <phoneticPr fontId="0" type="Hiragana"/>
  </si>
  <si>
    <t>入力パターン</t>
    <rPh sb="0" eb="0">
      <t/>
    </rPh>
    <phoneticPr fontId="0" type="Hiragana"/>
  </si>
  <si>
    <t>やり直す場合は</t>
    <phoneticPr fontId="0" type="Hiragana"/>
  </si>
  <si>
    <t>Original Bit Pattern Matrix</t>
    <phoneticPr fontId="0" type="Hiragana"/>
  </si>
  <si>
    <t>Output</t>
    <phoneticPr fontId="0" type="Hiragana"/>
  </si>
  <si>
    <t>Output : P</t>
    <phoneticPr fontId="0" type="Hiragana"/>
  </si>
  <si>
    <t>Y=sgn(M*X)</t>
    <phoneticPr fontId="0" type="Hiragana"/>
  </si>
  <si>
    <t>誤差 P-Y</t>
    <rPh sb="0" eb="0">
      <t/>
    </rPh>
    <phoneticPr fontId="0" type="Hiragana"/>
  </si>
  <si>
    <t>学習回数 Max</t>
    <rPh sb="0" eb="0">
      <t/>
    </rPh>
    <rPh sb="0" eb="0">
      <t/>
    </rPh>
    <phoneticPr fontId="0" type="Hiragana"/>
  </si>
  <si>
    <t>実際の学習回数</t>
    <rPh sb="0" eb="0">
      <t/>
    </rPh>
    <rPh sb="0" eb="0">
      <t/>
    </rPh>
    <rPh sb="0" eb="0">
      <t/>
    </rPh>
    <phoneticPr fontId="0" type="Hiragana"/>
  </si>
  <si>
    <t>学習収束結果</t>
    <rPh sb="0" eb="0">
      <t/>
    </rPh>
    <rPh sb="0" eb="0">
      <t/>
    </rPh>
    <rPh sb="0" eb="0">
      <t/>
    </rPh>
    <phoneticPr fontId="0" type="Hiragana"/>
  </si>
  <si>
    <t>⑥想起したい文字パターン（7×5）を入力する。</t>
    <rPh sb="0" eb="0">
      <t/>
    </rPh>
    <rPh sb="0" eb="0">
      <t/>
    </rPh>
    <rPh sb="0" eb="0">
      <t/>
    </rPh>
    <phoneticPr fontId="0" type="Hiragana"/>
  </si>
  <si>
    <t>想起信号</t>
    <rPh sb="0" eb="0">
      <t/>
    </rPh>
    <rPh sb="0" eb="0">
      <t/>
    </rPh>
    <phoneticPr fontId="0" type="Hiragana"/>
  </si>
  <si>
    <t>想起文字</t>
    <rPh sb="0" eb="0">
      <t/>
    </rPh>
    <rPh sb="0" eb="0">
      <t/>
    </rPh>
    <phoneticPr fontId="0" type="Hiragana"/>
  </si>
  <si>
    <t>想起結果</t>
    <rPh sb="0" eb="0">
      <t/>
    </rPh>
    <rPh sb="0" eb="0">
      <t/>
    </rPh>
    <phoneticPr fontId="0" type="Hiragana"/>
  </si>
  <si>
    <t>作業ベクトル a</t>
    <phoneticPr fontId="0" type="Hiragana"/>
  </si>
  <si>
    <t>　 想起信号が、教師信号のいずれかの行に一致すれば想起成功、一致するものがなければ失敗</t>
    <rPh sb="0" eb="0">
      <t/>
    </rPh>
    <rPh sb="0" eb="0">
      <t/>
    </rPh>
    <rPh sb="0" eb="0">
      <t/>
    </rPh>
    <rPh sb="0" eb="0">
      <t/>
    </rPh>
    <rPh sb="0" eb="0">
      <t/>
    </rPh>
    <rPh sb="0" eb="0">
      <t/>
    </rPh>
    <rPh sb="0" eb="0">
      <t/>
    </rPh>
    <rPh sb="0" eb="0">
      <t/>
    </rPh>
    <rPh sb="0" eb="0">
      <t/>
    </rPh>
    <rPh sb="0" eb="0">
      <t/>
    </rPh>
    <phoneticPr fontId="0" type="Hiragana"/>
  </si>
  <si>
    <t>*</t>
    <phoneticPr fontId="1"/>
  </si>
  <si>
    <r>
      <t>①記憶する文字を"*"で選択し、</t>
    </r>
    <r>
      <rPr>
        <sz val="11"/>
        <color rgb="FF0000FF"/>
        <rFont val="ＭＳ Ｐゴシック"/>
        <family val="3"/>
        <charset val="128"/>
        <scheme val="minor"/>
      </rPr>
      <t>Filterボタン</t>
    </r>
    <r>
      <rPr>
        <sz val="11"/>
        <color theme="1"/>
        <rFont val="ＭＳ Ｐゴシック"/>
        <family val="2"/>
        <charset val="128"/>
        <scheme val="minor"/>
      </rPr>
      <t>を押す。</t>
    </r>
    <phoneticPr fontId="0" type="Hiragana"/>
  </si>
  <si>
    <t>*</t>
    <phoneticPr fontId="1"/>
  </si>
  <si>
    <t>W初期化</t>
    <rPh sb="1" eb="4">
      <t>ショキカ</t>
    </rPh>
    <phoneticPr fontId="1"/>
  </si>
  <si>
    <t>Wクリア</t>
    <phoneticPr fontId="1"/>
  </si>
  <si>
    <r>
      <t>③重み配列に任意の初期値を設定する。乱数で自動設定する場合は、</t>
    </r>
    <r>
      <rPr>
        <sz val="11"/>
        <color rgb="FF0000FF"/>
        <rFont val="ＭＳ Ｐゴシック"/>
        <family val="3"/>
        <charset val="128"/>
        <scheme val="minor"/>
      </rPr>
      <t>Initボタン</t>
    </r>
    <r>
      <rPr>
        <sz val="11"/>
        <color theme="1"/>
        <rFont val="ＭＳ Ｐゴシック"/>
        <family val="2"/>
        <charset val="128"/>
        <scheme val="minor"/>
      </rPr>
      <t>を押す。</t>
    </r>
    <phoneticPr fontId="0" type="Hiragana"/>
  </si>
  <si>
    <r>
      <t>②記憶パターンを連続領域に抽出(</t>
    </r>
    <r>
      <rPr>
        <sz val="11"/>
        <color rgb="FF0000FF"/>
        <rFont val="ＭＳ Ｐゴシック"/>
        <family val="3"/>
        <charset val="128"/>
        <scheme val="minor"/>
      </rPr>
      <t>Filterボタン</t>
    </r>
    <r>
      <rPr>
        <sz val="11"/>
        <color theme="1"/>
        <rFont val="ＭＳ Ｐゴシック"/>
        <family val="2"/>
        <charset val="128"/>
        <scheme val="minor"/>
      </rPr>
      <t>で生成）</t>
    </r>
    <rPh sb="26" eb="28">
      <t>せいせい</t>
    </rPh>
    <phoneticPr fontId="0" type="Hiragana"/>
  </si>
  <si>
    <r>
      <t>④重み配列の学習を行う。学習回数</t>
    </r>
    <r>
      <rPr>
        <sz val="11"/>
        <color rgb="FF0000FF"/>
        <rFont val="ＭＳ Ｐゴシック"/>
        <family val="3"/>
        <charset val="128"/>
        <scheme val="minor"/>
      </rPr>
      <t>Maxセル</t>
    </r>
    <r>
      <rPr>
        <sz val="11"/>
        <color theme="1"/>
        <rFont val="ＭＳ Ｐゴシック"/>
        <family val="2"/>
        <charset val="128"/>
        <scheme val="minor"/>
      </rPr>
      <t>を設定後、</t>
    </r>
    <r>
      <rPr>
        <sz val="11"/>
        <color rgb="FF0000FF"/>
        <rFont val="ＭＳ Ｐゴシック"/>
        <family val="3"/>
        <charset val="128"/>
        <scheme val="minor"/>
      </rPr>
      <t>Weightボタン</t>
    </r>
    <r>
      <rPr>
        <sz val="11"/>
        <color theme="1"/>
        <rFont val="ＭＳ Ｐゴシック"/>
        <family val="2"/>
        <charset val="128"/>
        <scheme val="minor"/>
      </rPr>
      <t>を押す。</t>
    </r>
    <phoneticPr fontId="0" type="Hiragana"/>
  </si>
  <si>
    <t>【学習】</t>
    <rPh sb="1" eb="3">
      <t>ガクシュウ</t>
    </rPh>
    <phoneticPr fontId="1"/>
  </si>
  <si>
    <t>【想起】</t>
    <rPh sb="1" eb="3">
      <t>ソウキ</t>
    </rPh>
    <phoneticPr fontId="1"/>
  </si>
  <si>
    <r>
      <t>⑤重み配列を再設定する場合は、</t>
    </r>
    <r>
      <rPr>
        <sz val="11"/>
        <color rgb="FF0000FF"/>
        <rFont val="ＭＳ Ｐゴシック"/>
        <family val="3"/>
        <charset val="128"/>
        <scheme val="minor"/>
      </rPr>
      <t>Resetボタン</t>
    </r>
    <r>
      <rPr>
        <sz val="11"/>
        <color theme="1"/>
        <rFont val="ＭＳ Ｐゴシック"/>
        <family val="2"/>
        <charset val="128"/>
        <scheme val="minor"/>
      </rPr>
      <t>を押し、③からやり直す。</t>
    </r>
    <rPh sb="24" eb="25">
      <t>お</t>
    </rPh>
    <phoneticPr fontId="0" type="Hiragana"/>
  </si>
  <si>
    <t>Bit Pattern Matrix： M (n×35)</t>
    <phoneticPr fontId="1"/>
  </si>
  <si>
    <t>記憶パターン数 n</t>
    <rPh sb="0" eb="2">
      <t>キオク</t>
    </rPh>
    <rPh sb="6" eb="7">
      <t>スウ</t>
    </rPh>
    <phoneticPr fontId="1"/>
  </si>
  <si>
    <t xml:space="preserve"> (n×5)</t>
    <phoneticPr fontId="1"/>
  </si>
  <si>
    <t xml:space="preserve"> (n×5)</t>
    <phoneticPr fontId="1"/>
  </si>
  <si>
    <t xml:space="preserve"> (35×5)</t>
    <phoneticPr fontId="1"/>
  </si>
  <si>
    <t>教師信号 P</t>
    <phoneticPr fontId="1"/>
  </si>
  <si>
    <t xml:space="preserve"> (n×5)</t>
    <phoneticPr fontId="1"/>
  </si>
  <si>
    <t>想起パターン</t>
    <rPh sb="0" eb="2">
      <t>そうき</t>
    </rPh>
    <phoneticPr fontId="0" type="Hiragana"/>
  </si>
  <si>
    <r>
      <t>⑦想起演算を行う。</t>
    </r>
    <r>
      <rPr>
        <sz val="11"/>
        <color rgb="FF0000FF"/>
        <rFont val="ＭＳ Ｐゴシック"/>
        <family val="3"/>
        <charset val="128"/>
        <scheme val="minor"/>
      </rPr>
      <t>Recallボタン</t>
    </r>
    <r>
      <rPr>
        <sz val="11"/>
        <color theme="1"/>
        <rFont val="ＭＳ Ｐゴシック"/>
        <family val="2"/>
        <charset val="128"/>
        <scheme val="minor"/>
      </rPr>
      <t>を押す。</t>
    </r>
    <phoneticPr fontId="0" type="Hiragana"/>
  </si>
  <si>
    <r>
      <t>⑧再度想起を行うには、</t>
    </r>
    <r>
      <rPr>
        <sz val="11"/>
        <color rgb="FF0000FF"/>
        <rFont val="ＭＳ Ｐゴシック"/>
        <family val="3"/>
        <charset val="128"/>
        <scheme val="minor"/>
      </rPr>
      <t>Retryボタン</t>
    </r>
    <r>
      <rPr>
        <sz val="11"/>
        <color theme="1"/>
        <rFont val="ＭＳ Ｐゴシック"/>
        <family val="2"/>
        <charset val="128"/>
        <scheme val="minor"/>
      </rPr>
      <t>を押し、⑥に戻る。</t>
    </r>
    <phoneticPr fontId="0" type="Hiragana"/>
  </si>
  <si>
    <r>
      <t>⑨記憶文字パターンを変更してやり直すには、</t>
    </r>
    <r>
      <rPr>
        <sz val="11"/>
        <color rgb="FF0000FF"/>
        <rFont val="ＭＳ Ｐゴシック"/>
        <family val="3"/>
        <charset val="128"/>
        <scheme val="minor"/>
      </rPr>
      <t>Clearボタン</t>
    </r>
    <r>
      <rPr>
        <sz val="11"/>
        <color theme="1"/>
        <rFont val="ＭＳ Ｐゴシック"/>
        <family val="2"/>
        <charset val="128"/>
        <scheme val="minor"/>
      </rPr>
      <t>を押し、①に戻る。</t>
    </r>
    <phoneticPr fontId="0" type="Hiragana"/>
  </si>
  <si>
    <t>　 4-1) 記憶パターン（M）と重み配列（作業配列X）の行列積の符号関数（正なら1、0か負なら0）の値 Y=sgn(MX)</t>
    <rPh sb="24" eb="26">
      <t>はいれつ</t>
    </rPh>
    <phoneticPr fontId="0" type="Hiragana"/>
  </si>
  <si>
    <r>
      <t>　 下記入力パターン枠内に ■（セル塗りつぶし） で入力後、</t>
    </r>
    <r>
      <rPr>
        <sz val="11"/>
        <color rgb="FF0000FF"/>
        <rFont val="ＭＳ Ｐゴシック"/>
        <family val="3"/>
        <charset val="128"/>
        <scheme val="minor"/>
      </rPr>
      <t>Inputボタン</t>
    </r>
    <r>
      <rPr>
        <sz val="11"/>
        <color theme="1"/>
        <rFont val="ＭＳ Ｐゴシック"/>
        <family val="2"/>
        <charset val="128"/>
        <scheme val="minor"/>
      </rPr>
      <t>を押すと、作業ベクトルに展開される。</t>
    </r>
    <phoneticPr fontId="0" type="Hiragana"/>
  </si>
  <si>
    <t>No.</t>
    <phoneticPr fontId="0" type="Hiragana"/>
  </si>
  <si>
    <t>入力パターンは2**35通り（十進10桁以上）あるが、i = 1～n (n≦26) 以外は認識不可能なことを示す。</t>
    <phoneticPr fontId="0" type="Hiragana"/>
  </si>
  <si>
    <r>
      <t>　 4-3) 誤差P-Yが0でなければ、誤差訂正学習： X &lt;- X + M</t>
    </r>
    <r>
      <rPr>
        <vertAlign val="superscript"/>
        <sz val="11"/>
        <color theme="1"/>
        <rFont val="ＭＳ Ｐゴシック"/>
        <family val="3"/>
        <charset val="128"/>
        <scheme val="minor"/>
      </rPr>
      <t>T</t>
    </r>
    <r>
      <rPr>
        <sz val="11"/>
        <color theme="1"/>
        <rFont val="ＭＳ Ｐゴシック"/>
        <family val="2"/>
        <charset val="128"/>
        <scheme val="minor"/>
      </rPr>
      <t>*(P-Y)　4-1)に戻る。</t>
    </r>
    <rPh sb="7" eb="9">
      <t>ごさ</t>
    </rPh>
    <rPh sb="20" eb="22">
      <t>ごさ</t>
    </rPh>
    <rPh sb="22" eb="24">
      <t>ていせい</t>
    </rPh>
    <rPh sb="24" eb="26">
      <t>がくしゅう</t>
    </rPh>
    <rPh sb="51" eb="52">
      <t>もど</t>
    </rPh>
    <phoneticPr fontId="0" type="Hiragana"/>
  </si>
  <si>
    <t>初期配列 W</t>
    <rPh sb="0" eb="2">
      <t>しょき</t>
    </rPh>
    <phoneticPr fontId="0" type="Hiragana"/>
  </si>
  <si>
    <t>重み配列 X</t>
    <rPh sb="0" eb="1">
      <t>おも</t>
    </rPh>
    <phoneticPr fontId="0" type="Hiragana"/>
  </si>
  <si>
    <t>X学習</t>
    <rPh sb="1" eb="3">
      <t>ガクシュウ</t>
    </rPh>
    <phoneticPr fontId="1"/>
  </si>
  <si>
    <t>　 作業ベクトル a と重み配列の積 aX が想起信号に表示される。</t>
    <phoneticPr fontId="0" type="Hiragana"/>
  </si>
  <si>
    <t>[Filter]</t>
    <phoneticPr fontId="1"/>
  </si>
  <si>
    <t>[Clear]</t>
    <phoneticPr fontId="1"/>
  </si>
  <si>
    <t>[Init]</t>
    <phoneticPr fontId="1"/>
  </si>
  <si>
    <t>[Weight]</t>
    <phoneticPr fontId="1"/>
  </si>
  <si>
    <t>[Reset]</t>
    <phoneticPr fontId="1"/>
  </si>
  <si>
    <t>[Input]</t>
    <phoneticPr fontId="1"/>
  </si>
  <si>
    <t>[Recall]</t>
    <phoneticPr fontId="1"/>
  </si>
  <si>
    <t>[Retry]</t>
    <phoneticPr fontId="1"/>
  </si>
  <si>
    <t>Perceptronによる文字認識</t>
    <phoneticPr fontId="0" type="Hiragana"/>
  </si>
  <si>
    <t>A</t>
    <phoneticPr fontId="0" type="Hiragana"/>
  </si>
  <si>
    <t>B</t>
    <phoneticPr fontId="0" type="Hiragana"/>
  </si>
  <si>
    <t>C</t>
    <phoneticPr fontId="0" type="Hiragana"/>
  </si>
  <si>
    <t>D</t>
    <phoneticPr fontId="0" type="Hiragana"/>
  </si>
  <si>
    <t>E</t>
    <phoneticPr fontId="0" type="Hiragana"/>
  </si>
  <si>
    <t>F</t>
    <phoneticPr fontId="0" type="Hiragana"/>
  </si>
  <si>
    <t>G</t>
    <phoneticPr fontId="0" type="Hiragana"/>
  </si>
  <si>
    <t>H</t>
    <phoneticPr fontId="0" type="Hiragana"/>
  </si>
  <si>
    <t>I</t>
    <phoneticPr fontId="0" type="Hiragana"/>
  </si>
  <si>
    <t>J</t>
    <phoneticPr fontId="0" type="Hiragana"/>
  </si>
  <si>
    <t>K</t>
    <phoneticPr fontId="0" type="Hiragana"/>
  </si>
  <si>
    <t>L</t>
    <phoneticPr fontId="0" type="Hiragana"/>
  </si>
  <si>
    <t>M</t>
    <phoneticPr fontId="0" type="Hiragana"/>
  </si>
  <si>
    <t>N</t>
    <phoneticPr fontId="0" type="Hiragana"/>
  </si>
  <si>
    <t>O</t>
    <phoneticPr fontId="0" type="Hiragana"/>
  </si>
  <si>
    <t>P</t>
    <phoneticPr fontId="0" type="Hiragana"/>
  </si>
  <si>
    <t>Q</t>
    <phoneticPr fontId="0" type="Hiragana"/>
  </si>
  <si>
    <t>R</t>
    <phoneticPr fontId="0" type="Hiragana"/>
  </si>
  <si>
    <t>S</t>
    <phoneticPr fontId="0" type="Hiragana"/>
  </si>
  <si>
    <t>T</t>
    <phoneticPr fontId="0" type="Hiragana"/>
  </si>
  <si>
    <t>U</t>
    <phoneticPr fontId="0" type="Hiragana"/>
  </si>
  <si>
    <t>V</t>
    <phoneticPr fontId="0" type="Hiragana"/>
  </si>
  <si>
    <t>W</t>
    <phoneticPr fontId="0" type="Hiragana"/>
  </si>
  <si>
    <t>X</t>
    <phoneticPr fontId="0" type="Hiragana"/>
  </si>
  <si>
    <t>Y</t>
    <phoneticPr fontId="0" type="Hiragana"/>
  </si>
  <si>
    <t>Z</t>
    <phoneticPr fontId="0" type="Hiragana"/>
  </si>
  <si>
    <t>手順</t>
    <phoneticPr fontId="0" type="Hiragana"/>
  </si>
  <si>
    <t>7×5のDot Patternで26文字を識別するので、出力に必要なビット数は5bitsあればよい。</t>
    <phoneticPr fontId="0" type="Hiragana"/>
  </si>
  <si>
    <t>線形分離可能となるように、OutputパターンPを決める（ここが難しい）</t>
    <rPh sb="25" eb="26">
      <t>き</t>
    </rPh>
    <rPh sb="32" eb="33">
      <t>むずか</t>
    </rPh>
    <phoneticPr fontId="0" type="Hiragana"/>
  </si>
  <si>
    <t>仮に、文字のビットパターンを2進数とみなしたとき、小さい順にNo.をふり、この２進展開をPとする。</t>
    <rPh sb="0" eb="1">
      <t>かり</t>
    </rPh>
    <rPh sb="40" eb="41">
      <t>しん</t>
    </rPh>
    <rPh sb="41" eb="43">
      <t>てんかい</t>
    </rPh>
    <phoneticPr fontId="0" type="Hiragana"/>
  </si>
  <si>
    <t>このときMW=P　となるような重み配列Wを求める。線形分離可能ならばWは収束する。</t>
    <phoneticPr fontId="0" type="Hiragana"/>
  </si>
  <si>
    <t xml:space="preserve"> i.e. 中間層(Associator) 35 nodes、Output 5 nodesのPerceptronとみなせる。(入力は中間層と一対一）</t>
    <phoneticPr fontId="0" type="Hiragana"/>
  </si>
  <si>
    <t>Wの計算は教師信号（P）に一致するまで以下を繰り返す：－</t>
    <phoneticPr fontId="0" type="Hiragana"/>
  </si>
  <si>
    <t>①積和演算結果が正なら1, そうでなければ0</t>
    <phoneticPr fontId="0" type="Hiragana"/>
  </si>
  <si>
    <t>②教師信号（R）との誤差があればWに反映して再計算</t>
    <phoneticPr fontId="0" type="Hiragana"/>
  </si>
  <si>
    <t>想起演算は、任意の入力 a (1×35のベクトル）に対し、i = aW (1×5のベクトル）が文字indexを示す。</t>
    <phoneticPr fontId="0" type="Hiragana"/>
  </si>
  <si>
    <t>Sensor</t>
    <phoneticPr fontId="1"/>
  </si>
  <si>
    <t>Associator</t>
    <phoneticPr fontId="1"/>
  </si>
  <si>
    <t>Output</t>
    <phoneticPr fontId="1"/>
  </si>
  <si>
    <t>35nodes</t>
    <phoneticPr fontId="1"/>
  </si>
  <si>
    <t>入力パッド等</t>
    <rPh sb="0" eb="2">
      <t>ニュウリョク</t>
    </rPh>
    <rPh sb="5" eb="6">
      <t>トウ</t>
    </rPh>
    <phoneticPr fontId="1"/>
  </si>
  <si>
    <t>5nodes</t>
    <phoneticPr fontId="1"/>
  </si>
  <si>
    <r>
      <t>Copyright</t>
    </r>
    <r>
      <rPr>
        <sz val="10"/>
        <color theme="1"/>
        <rFont val="ＭＳ Ｐゴシック"/>
        <family val="3"/>
        <charset val="128"/>
        <scheme val="minor"/>
      </rPr>
      <t>©</t>
    </r>
    <r>
      <rPr>
        <sz val="10"/>
        <color theme="1"/>
        <rFont val="ＭＳ Ｐゴシック"/>
        <family val="2"/>
        <charset val="128"/>
        <scheme val="minor"/>
      </rPr>
      <t xml:space="preserve"> 2015</t>
    </r>
    <r>
      <rPr>
        <sz val="10"/>
        <color theme="1"/>
        <rFont val="ＭＳ Ｐゴシック"/>
        <family val="3"/>
        <charset val="128"/>
        <scheme val="minor"/>
      </rPr>
      <t>　ASAI Noboru</t>
    </r>
    <phoneticPr fontId="1"/>
  </si>
  <si>
    <t>Copyright© 2015　ASAI Noboru</t>
    <phoneticPr fontId="1"/>
  </si>
  <si>
    <t>Copyright© 2015　ASAI Noboru</t>
    <phoneticPr fontId="1"/>
  </si>
  <si>
    <t>Ex.1</t>
    <phoneticPr fontId="1"/>
  </si>
  <si>
    <t>　 4-2) 教師信号との誤差P-Yを求め、0なら学習終わり</t>
    <rPh sb="7" eb="9">
      <t>きょうし</t>
    </rPh>
    <rPh sb="9" eb="11">
      <t>しんごう</t>
    </rPh>
    <rPh sb="13" eb="15">
      <t>ごさ</t>
    </rPh>
    <rPh sb="19" eb="20">
      <t>もと</t>
    </rPh>
    <rPh sb="25" eb="27">
      <t>がくしゅう</t>
    </rPh>
    <rPh sb="27" eb="28">
      <t>おわ</t>
    </rPh>
    <phoneticPr fontId="0" type="Hiragana"/>
  </si>
  <si>
    <t>A</t>
  </si>
  <si>
    <t>B</t>
  </si>
  <si>
    <t>誤差 Y-P</t>
    <phoneticPr fontId="0" type="Hiragana"/>
  </si>
  <si>
    <t>*</t>
    <phoneticPr fontId="1"/>
  </si>
  <si>
    <t>C</t>
  </si>
  <si>
    <t>D</t>
  </si>
  <si>
    <t>FAILED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</si>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</sst>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rgb="FF0000FF"/>
      <name val="ＭＳ Ｐゴシック"/>
      <family val="3"/>
      <charset val="128"/>
      <scheme val="minor"/>
    </font>
    <font>
      <sz val="11"/>
      <color rgb="FF0000FF"/>
      <name val="ＭＳ Ｐゴシック"/>
      <family val="3"/>
      <charset val="128"/>
    </font>
    <font>
      <vertAlign val="superscript"/>
      <sz val="11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CCFFCC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0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4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2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4" xfId="0" applyFill="1" applyBorder="1">
      <alignment vertical="center"/>
    </xf>
    <xf numFmtId="0" fontId="0" fillId="5" borderId="1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4" xfId="0" applyFill="1" applyBorder="1">
      <alignment vertical="center"/>
    </xf>
    <xf numFmtId="0" fontId="0" fillId="0" borderId="0" xfId="0">
      <alignment vertical="center"/>
    </xf>
    <xf numFmtId="0" fontId="0" fillId="6" borderId="0" xfId="0" applyFill="1">
      <alignment vertical="center"/>
    </xf>
    <xf numFmtId="0" fontId="0" fillId="0" borderId="0" xfId="0" applyFill="1">
      <alignment vertical="center"/>
    </xf>
    <xf numFmtId="0" fontId="0" fillId="0" borderId="1" xfId="0" applyFill="1" applyBorder="1">
      <alignment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3" fillId="0" borderId="16" xfId="0" applyFont="1" applyBorder="1">
      <alignment vertical="center"/>
    </xf>
    <xf numFmtId="0" fontId="0" fillId="0" borderId="5" xfId="0" applyFill="1" applyBorder="1">
      <alignment vertical="center"/>
    </xf>
    <xf numFmtId="0" fontId="0" fillId="0" borderId="6" xfId="0" applyFill="1" applyBorder="1">
      <alignment vertical="center"/>
    </xf>
    <xf numFmtId="0" fontId="0" fillId="0" borderId="7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9" xfId="0" applyFill="1" applyBorder="1">
      <alignment vertical="center"/>
    </xf>
    <xf numFmtId="0" fontId="0" fillId="0" borderId="10" xfId="0" applyFill="1" applyBorder="1">
      <alignment vertical="center"/>
    </xf>
    <xf numFmtId="0" fontId="0" fillId="0" borderId="11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3" xfId="0" applyFill="1" applyBorder="1">
      <alignment vertical="center"/>
    </xf>
    <xf numFmtId="0" fontId="0" fillId="7" borderId="5" xfId="0" applyFill="1" applyBorder="1">
      <alignment vertical="center"/>
    </xf>
    <xf numFmtId="0" fontId="0" fillId="7" borderId="6" xfId="0" applyFill="1" applyBorder="1">
      <alignment vertical="center"/>
    </xf>
    <xf numFmtId="0" fontId="0" fillId="7" borderId="7" xfId="0" applyFill="1" applyBorder="1">
      <alignment vertical="center"/>
    </xf>
    <xf numFmtId="0" fontId="0" fillId="7" borderId="8" xfId="0" applyFill="1" applyBorder="1">
      <alignment vertical="center"/>
    </xf>
    <xf numFmtId="0" fontId="0" fillId="7" borderId="9" xfId="0" applyFill="1" applyBorder="1">
      <alignment vertical="center"/>
    </xf>
    <xf numFmtId="0" fontId="0" fillId="7" borderId="10" xfId="0" applyFill="1" applyBorder="1">
      <alignment vertical="center"/>
    </xf>
    <xf numFmtId="0" fontId="0" fillId="7" borderId="11" xfId="0" applyFill="1" applyBorder="1">
      <alignment vertical="center"/>
    </xf>
    <xf numFmtId="0" fontId="0" fillId="7" borderId="12" xfId="0" applyFill="1" applyBorder="1">
      <alignment vertical="center"/>
    </xf>
    <xf numFmtId="0" fontId="0" fillId="7" borderId="13" xfId="0" applyFill="1" applyBorder="1">
      <alignment vertical="center"/>
    </xf>
    <xf numFmtId="0" fontId="0" fillId="0" borderId="0" xfId="0" applyBorder="1" applyAlignment="1">
      <alignment vertical="center"/>
    </xf>
    <xf numFmtId="0" fontId="0" fillId="8" borderId="1" xfId="0" applyFill="1" applyBorder="1">
      <alignment vertical="center"/>
    </xf>
    <xf numFmtId="0" fontId="0" fillId="8" borderId="2" xfId="0" applyFill="1" applyBorder="1">
      <alignment vertical="center"/>
    </xf>
    <xf numFmtId="0" fontId="0" fillId="8" borderId="3" xfId="0" applyFill="1" applyBorder="1">
      <alignment vertical="center"/>
    </xf>
    <xf numFmtId="0" fontId="0" fillId="8" borderId="4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16" xfId="0" applyFill="1" applyBorder="1">
      <alignment vertical="center"/>
    </xf>
    <xf numFmtId="0" fontId="0" fillId="0" borderId="16" xfId="0" applyBorder="1">
      <alignment vertical="center"/>
    </xf>
    <xf numFmtId="0" fontId="0" fillId="0" borderId="0" xfId="0" applyAlignment="1">
      <alignment vertical="center"/>
    </xf>
    <xf numFmtId="0" fontId="0" fillId="0" borderId="0" xfId="0" applyFill="1" applyBorder="1" applyAlignment="1">
      <alignment vertical="center"/>
    </xf>
    <xf numFmtId="0" fontId="3" fillId="0" borderId="0" xfId="0" applyFont="1">
      <alignment vertical="center"/>
    </xf>
    <xf numFmtId="0" fontId="4" fillId="0" borderId="0" xfId="0" applyFont="1" applyFill="1" applyBorder="1">
      <alignment vertical="center"/>
    </xf>
    <xf numFmtId="0" fontId="4" fillId="0" borderId="0" xfId="0" applyFont="1">
      <alignment vertical="center"/>
    </xf>
    <xf numFmtId="0" fontId="0" fillId="0" borderId="0" xfId="0" applyFont="1">
      <alignment vertical="center"/>
    </xf>
    <xf numFmtId="0" fontId="3" fillId="0" borderId="14" xfId="0" applyFont="1" applyFill="1" applyBorder="1">
      <alignment vertical="center"/>
    </xf>
    <xf numFmtId="0" fontId="3" fillId="0" borderId="15" xfId="0" applyFont="1" applyFill="1" applyBorder="1">
      <alignment vertical="center"/>
    </xf>
    <xf numFmtId="0" fontId="3" fillId="0" borderId="16" xfId="0" applyFont="1" applyFill="1" applyBorder="1">
      <alignment vertical="center"/>
    </xf>
    <xf numFmtId="0" fontId="9" fillId="0" borderId="0" xfId="0" applyFont="1">
      <alignment vertical="center"/>
    </xf>
    <xf numFmtId="0" fontId="0" fillId="0" borderId="2" xfId="0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2" borderId="18" xfId="0" applyFill="1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47</xdr:row>
      <xdr:rowOff>66675</xdr:rowOff>
    </xdr:from>
    <xdr:to>
      <xdr:col>8</xdr:col>
      <xdr:colOff>57150</xdr:colOff>
      <xdr:row>48</xdr:row>
      <xdr:rowOff>76200</xdr:rowOff>
    </xdr:to>
    <xdr:sp macro="" textlink="">
      <xdr:nvSpPr>
        <xdr:cNvPr id="2" name="円/楕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14450" y="8124825"/>
          <a:ext cx="190500" cy="1809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57150</xdr:colOff>
      <xdr:row>49</xdr:row>
      <xdr:rowOff>9525</xdr:rowOff>
    </xdr:from>
    <xdr:to>
      <xdr:col>8</xdr:col>
      <xdr:colOff>66675</xdr:colOff>
      <xdr:row>50</xdr:row>
      <xdr:rowOff>19050</xdr:rowOff>
    </xdr:to>
    <xdr:sp macro="" textlink="">
      <xdr:nvSpPr>
        <xdr:cNvPr id="3" name="円/楕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23975" y="8410575"/>
          <a:ext cx="190500" cy="1809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47625</xdr:colOff>
      <xdr:row>52</xdr:row>
      <xdr:rowOff>142875</xdr:rowOff>
    </xdr:from>
    <xdr:to>
      <xdr:col>8</xdr:col>
      <xdr:colOff>57150</xdr:colOff>
      <xdr:row>53</xdr:row>
      <xdr:rowOff>152400</xdr:rowOff>
    </xdr:to>
    <xdr:sp macro="" textlink="">
      <xdr:nvSpPr>
        <xdr:cNvPr id="4" name="円/楕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314450" y="9058275"/>
          <a:ext cx="190500" cy="1809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9525</xdr:colOff>
      <xdr:row>47</xdr:row>
      <xdr:rowOff>57150</xdr:rowOff>
    </xdr:from>
    <xdr:to>
      <xdr:col>12</xdr:col>
      <xdr:colOff>19050</xdr:colOff>
      <xdr:row>48</xdr:row>
      <xdr:rowOff>66675</xdr:rowOff>
    </xdr:to>
    <xdr:sp macro="" textlink="">
      <xdr:nvSpPr>
        <xdr:cNvPr id="6" name="円/楕円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000250" y="8115300"/>
          <a:ext cx="190500" cy="1809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49</xdr:row>
      <xdr:rowOff>9525</xdr:rowOff>
    </xdr:from>
    <xdr:to>
      <xdr:col>12</xdr:col>
      <xdr:colOff>9525</xdr:colOff>
      <xdr:row>50</xdr:row>
      <xdr:rowOff>19050</xdr:rowOff>
    </xdr:to>
    <xdr:sp macro="" textlink="">
      <xdr:nvSpPr>
        <xdr:cNvPr id="7" name="円/楕円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990725" y="8410575"/>
          <a:ext cx="190500" cy="1809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171450</xdr:colOff>
      <xdr:row>52</xdr:row>
      <xdr:rowOff>142875</xdr:rowOff>
    </xdr:from>
    <xdr:to>
      <xdr:col>12</xdr:col>
      <xdr:colOff>0</xdr:colOff>
      <xdr:row>53</xdr:row>
      <xdr:rowOff>152400</xdr:rowOff>
    </xdr:to>
    <xdr:sp macro="" textlink="">
      <xdr:nvSpPr>
        <xdr:cNvPr id="8" name="円/楕円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81200" y="9058275"/>
          <a:ext cx="190500" cy="1809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161925</xdr:colOff>
      <xdr:row>47</xdr:row>
      <xdr:rowOff>19050</xdr:rowOff>
    </xdr:from>
    <xdr:to>
      <xdr:col>21</xdr:col>
      <xdr:colOff>171450</xdr:colOff>
      <xdr:row>48</xdr:row>
      <xdr:rowOff>28575</xdr:rowOff>
    </xdr:to>
    <xdr:sp macro="" textlink="">
      <xdr:nvSpPr>
        <xdr:cNvPr id="9" name="円/楕円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781425" y="8077200"/>
          <a:ext cx="190500" cy="1809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171450</xdr:colOff>
      <xdr:row>48</xdr:row>
      <xdr:rowOff>66675</xdr:rowOff>
    </xdr:from>
    <xdr:to>
      <xdr:col>22</xdr:col>
      <xdr:colOff>0</xdr:colOff>
      <xdr:row>49</xdr:row>
      <xdr:rowOff>76200</xdr:rowOff>
    </xdr:to>
    <xdr:sp macro="" textlink="">
      <xdr:nvSpPr>
        <xdr:cNvPr id="11" name="円/楕円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3790950" y="8296275"/>
          <a:ext cx="190500" cy="1809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171450</xdr:colOff>
      <xdr:row>49</xdr:row>
      <xdr:rowOff>114300</xdr:rowOff>
    </xdr:from>
    <xdr:to>
      <xdr:col>22</xdr:col>
      <xdr:colOff>0</xdr:colOff>
      <xdr:row>50</xdr:row>
      <xdr:rowOff>123825</xdr:rowOff>
    </xdr:to>
    <xdr:sp macro="" textlink="">
      <xdr:nvSpPr>
        <xdr:cNvPr id="12" name="円/楕円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90950" y="8515350"/>
          <a:ext cx="190500" cy="1809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171450</xdr:colOff>
      <xdr:row>50</xdr:row>
      <xdr:rowOff>161925</xdr:rowOff>
    </xdr:from>
    <xdr:to>
      <xdr:col>22</xdr:col>
      <xdr:colOff>0</xdr:colOff>
      <xdr:row>52</xdr:row>
      <xdr:rowOff>0</xdr:rowOff>
    </xdr:to>
    <xdr:sp macro="" textlink="">
      <xdr:nvSpPr>
        <xdr:cNvPr id="14" name="円/楕円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790950" y="8734425"/>
          <a:ext cx="190500" cy="1809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52</xdr:row>
      <xdr:rowOff>47625</xdr:rowOff>
    </xdr:from>
    <xdr:to>
      <xdr:col>22</xdr:col>
      <xdr:colOff>9525</xdr:colOff>
      <xdr:row>53</xdr:row>
      <xdr:rowOff>57150</xdr:rowOff>
    </xdr:to>
    <xdr:sp macro="" textlink="">
      <xdr:nvSpPr>
        <xdr:cNvPr id="15" name="円/楕円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800475" y="8963025"/>
          <a:ext cx="190500" cy="1809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57150</xdr:colOff>
      <xdr:row>47</xdr:row>
      <xdr:rowOff>147638</xdr:rowOff>
    </xdr:from>
    <xdr:to>
      <xdr:col>11</xdr:col>
      <xdr:colOff>9525</xdr:colOff>
      <xdr:row>47</xdr:row>
      <xdr:rowOff>157163</xdr:rowOff>
    </xdr:to>
    <xdr:cxnSp macro="">
      <xdr:nvCxnSpPr>
        <xdr:cNvPr id="17" name="直線コネクタ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>
          <a:stCxn id="2" idx="6"/>
          <a:endCxn id="6" idx="2"/>
        </xdr:cNvCxnSpPr>
      </xdr:nvCxnSpPr>
      <xdr:spPr>
        <a:xfrm flipV="1">
          <a:off x="1504950" y="8205788"/>
          <a:ext cx="495300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49</xdr:row>
      <xdr:rowOff>100013</xdr:rowOff>
    </xdr:from>
    <xdr:to>
      <xdr:col>20</xdr:col>
      <xdr:colOff>171450</xdr:colOff>
      <xdr:row>50</xdr:row>
      <xdr:rowOff>33338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>
          <a:stCxn id="7" idx="6"/>
          <a:endCxn id="12" idx="2"/>
        </xdr:cNvCxnSpPr>
      </xdr:nvCxnSpPr>
      <xdr:spPr>
        <a:xfrm>
          <a:off x="2181225" y="8501063"/>
          <a:ext cx="1609725" cy="1047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47625</xdr:colOff>
      <xdr:row>47</xdr:row>
      <xdr:rowOff>109538</xdr:rowOff>
    </xdr:from>
    <xdr:to>
      <xdr:col>20</xdr:col>
      <xdr:colOff>161925</xdr:colOff>
      <xdr:row>47</xdr:row>
      <xdr:rowOff>152402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>
          <a:endCxn id="9" idx="2"/>
        </xdr:cNvCxnSpPr>
      </xdr:nvCxnSpPr>
      <xdr:spPr>
        <a:xfrm flipV="1">
          <a:off x="2219325" y="8167688"/>
          <a:ext cx="1562100" cy="4286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19050</xdr:colOff>
      <xdr:row>47</xdr:row>
      <xdr:rowOff>147638</xdr:rowOff>
    </xdr:from>
    <xdr:to>
      <xdr:col>20</xdr:col>
      <xdr:colOff>171450</xdr:colOff>
      <xdr:row>50</xdr:row>
      <xdr:rowOff>33338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>
          <a:stCxn id="6" idx="6"/>
          <a:endCxn id="12" idx="2"/>
        </xdr:cNvCxnSpPr>
      </xdr:nvCxnSpPr>
      <xdr:spPr>
        <a:xfrm>
          <a:off x="2190750" y="8205788"/>
          <a:ext cx="1600200" cy="4000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85725</xdr:colOff>
      <xdr:row>49</xdr:row>
      <xdr:rowOff>85725</xdr:rowOff>
    </xdr:from>
    <xdr:to>
      <xdr:col>11</xdr:col>
      <xdr:colOff>38100</xdr:colOff>
      <xdr:row>49</xdr:row>
      <xdr:rowOff>95250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flipV="1">
          <a:off x="1533525" y="8486775"/>
          <a:ext cx="495300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50</xdr:row>
      <xdr:rowOff>97322</xdr:rowOff>
    </xdr:from>
    <xdr:to>
      <xdr:col>21</xdr:col>
      <xdr:colOff>18373</xdr:colOff>
      <xdr:row>53</xdr:row>
      <xdr:rowOff>61913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>
          <a:stCxn id="8" idx="6"/>
          <a:endCxn id="12" idx="3"/>
        </xdr:cNvCxnSpPr>
      </xdr:nvCxnSpPr>
      <xdr:spPr>
        <a:xfrm flipV="1">
          <a:off x="2171700" y="8669822"/>
          <a:ext cx="1647148" cy="47894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47625</xdr:colOff>
      <xdr:row>53</xdr:row>
      <xdr:rowOff>85725</xdr:rowOff>
    </xdr:from>
    <xdr:to>
      <xdr:col>11</xdr:col>
      <xdr:colOff>0</xdr:colOff>
      <xdr:row>53</xdr:row>
      <xdr:rowOff>95250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 flipV="1">
          <a:off x="1495425" y="9172575"/>
          <a:ext cx="495300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51</xdr:row>
      <xdr:rowOff>80963</xdr:rowOff>
    </xdr:from>
    <xdr:to>
      <xdr:col>20</xdr:col>
      <xdr:colOff>171450</xdr:colOff>
      <xdr:row>53</xdr:row>
      <xdr:rowOff>61913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>
          <a:stCxn id="8" idx="6"/>
          <a:endCxn id="14" idx="2"/>
        </xdr:cNvCxnSpPr>
      </xdr:nvCxnSpPr>
      <xdr:spPr>
        <a:xfrm flipV="1">
          <a:off x="2171700" y="8824913"/>
          <a:ext cx="1619250" cy="3238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52</xdr:row>
      <xdr:rowOff>138113</xdr:rowOff>
    </xdr:from>
    <xdr:to>
      <xdr:col>21</xdr:col>
      <xdr:colOff>0</xdr:colOff>
      <xdr:row>53</xdr:row>
      <xdr:rowOff>61913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>
          <a:stCxn id="8" idx="6"/>
          <a:endCxn id="15" idx="2"/>
        </xdr:cNvCxnSpPr>
      </xdr:nvCxnSpPr>
      <xdr:spPr>
        <a:xfrm flipV="1">
          <a:off x="2171700" y="9053513"/>
          <a:ext cx="1628775" cy="952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47625</xdr:colOff>
      <xdr:row>49</xdr:row>
      <xdr:rowOff>49697</xdr:rowOff>
    </xdr:from>
    <xdr:to>
      <xdr:col>21</xdr:col>
      <xdr:colOff>18373</xdr:colOff>
      <xdr:row>49</xdr:row>
      <xdr:rowOff>104776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>
          <a:endCxn id="11" idx="3"/>
        </xdr:cNvCxnSpPr>
      </xdr:nvCxnSpPr>
      <xdr:spPr>
        <a:xfrm flipV="1">
          <a:off x="2219325" y="8450747"/>
          <a:ext cx="1599523" cy="5507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19050</xdr:colOff>
      <xdr:row>47</xdr:row>
      <xdr:rowOff>147638</xdr:rowOff>
    </xdr:from>
    <xdr:to>
      <xdr:col>20</xdr:col>
      <xdr:colOff>171450</xdr:colOff>
      <xdr:row>48</xdr:row>
      <xdr:rowOff>157163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>
          <a:stCxn id="6" idx="6"/>
          <a:endCxn id="11" idx="2"/>
        </xdr:cNvCxnSpPr>
      </xdr:nvCxnSpPr>
      <xdr:spPr>
        <a:xfrm>
          <a:off x="2190750" y="8205788"/>
          <a:ext cx="1600200" cy="1809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50</xdr:row>
      <xdr:rowOff>33338</xdr:rowOff>
    </xdr:from>
    <xdr:to>
      <xdr:col>20</xdr:col>
      <xdr:colOff>171450</xdr:colOff>
      <xdr:row>51</xdr:row>
      <xdr:rowOff>66675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CxnSpPr>
          <a:endCxn id="12" idx="2"/>
        </xdr:cNvCxnSpPr>
      </xdr:nvCxnSpPr>
      <xdr:spPr>
        <a:xfrm flipV="1">
          <a:off x="2143125" y="8605838"/>
          <a:ext cx="1647825" cy="20478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161925</xdr:colOff>
      <xdr:row>50</xdr:row>
      <xdr:rowOff>114300</xdr:rowOff>
    </xdr:from>
    <xdr:to>
      <xdr:col>7</xdr:col>
      <xdr:colOff>161925</xdr:colOff>
      <xdr:row>52</xdr:row>
      <xdr:rowOff>76200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>
          <a:off x="1428750" y="8686800"/>
          <a:ext cx="0" cy="304800"/>
        </a:xfrm>
        <a:prstGeom prst="line">
          <a:avLst/>
        </a:prstGeom>
        <a:ln w="2222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50</xdr:row>
      <xdr:rowOff>104775</xdr:rowOff>
    </xdr:from>
    <xdr:to>
      <xdr:col>11</xdr:col>
      <xdr:colOff>95250</xdr:colOff>
      <xdr:row>52</xdr:row>
      <xdr:rowOff>66675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CxnSpPr/>
      </xdr:nvCxnSpPr>
      <xdr:spPr>
        <a:xfrm>
          <a:off x="2085975" y="8677275"/>
          <a:ext cx="0" cy="304800"/>
        </a:xfrm>
        <a:prstGeom prst="line">
          <a:avLst/>
        </a:prstGeom>
        <a:ln w="22225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85725</xdr:colOff>
      <xdr:row>46</xdr:row>
      <xdr:rowOff>133350</xdr:rowOff>
    </xdr:from>
    <xdr:to>
      <xdr:col>18</xdr:col>
      <xdr:colOff>95249</xdr:colOff>
      <xdr:row>53</xdr:row>
      <xdr:rowOff>104775</xdr:rowOff>
    </xdr:to>
    <xdr:sp macro="" textlink="">
      <xdr:nvSpPr>
        <xdr:cNvPr id="53" name="正方形/長方形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2800350" y="8020050"/>
          <a:ext cx="552449" cy="1171575"/>
        </a:xfrm>
        <a:prstGeom prst="rect">
          <a:avLst/>
        </a:prstGeom>
        <a:solidFill>
          <a:srgbClr val="CCFFCC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15</xdr:col>
      <xdr:colOff>47625</xdr:colOff>
      <xdr:row>48</xdr:row>
      <xdr:rowOff>114300</xdr:rowOff>
    </xdr:from>
    <xdr:ext cx="646331" cy="425758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 txBox="1"/>
      </xdr:nvSpPr>
      <xdr:spPr>
        <a:xfrm>
          <a:off x="2762250" y="8343900"/>
          <a:ext cx="646331" cy="4257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900"/>
            <a:t>重み配列</a:t>
          </a:r>
          <a:endParaRPr kumimoji="1" lang="en-US" altLang="ja-JP" sz="900"/>
        </a:p>
        <a:p>
          <a:r>
            <a:rPr kumimoji="1" lang="en-US" altLang="ja-JP" sz="1100"/>
            <a:t> 35×5</a:t>
          </a:r>
          <a:endParaRPr kumimoji="1" lang="ja-JP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</xdr:row>
          <xdr:rowOff>160020</xdr:rowOff>
        </xdr:from>
        <xdr:to>
          <xdr:col>23</xdr:col>
          <xdr:colOff>60960</xdr:colOff>
          <xdr:row>3</xdr:row>
          <xdr:rowOff>22860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Filter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38100</xdr:colOff>
          <xdr:row>1</xdr:row>
          <xdr:rowOff>152400</xdr:rowOff>
        </xdr:from>
        <xdr:to>
          <xdr:col>34</xdr:col>
          <xdr:colOff>60960</xdr:colOff>
          <xdr:row>3</xdr:row>
          <xdr:rowOff>7620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69</xdr:row>
          <xdr:rowOff>0</xdr:rowOff>
        </xdr:from>
        <xdr:to>
          <xdr:col>38</xdr:col>
          <xdr:colOff>99060</xdr:colOff>
          <xdr:row>70</xdr:row>
          <xdr:rowOff>30480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Init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72</xdr:row>
          <xdr:rowOff>0</xdr:rowOff>
        </xdr:from>
        <xdr:to>
          <xdr:col>38</xdr:col>
          <xdr:colOff>99060</xdr:colOff>
          <xdr:row>73</xdr:row>
          <xdr:rowOff>30480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Weight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22860</xdr:colOff>
          <xdr:row>86</xdr:row>
          <xdr:rowOff>160020</xdr:rowOff>
        </xdr:from>
        <xdr:to>
          <xdr:col>38</xdr:col>
          <xdr:colOff>114300</xdr:colOff>
          <xdr:row>88</xdr:row>
          <xdr:rowOff>22860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Reset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160020</xdr:colOff>
          <xdr:row>110</xdr:row>
          <xdr:rowOff>0</xdr:rowOff>
        </xdr:from>
        <xdr:to>
          <xdr:col>13</xdr:col>
          <xdr:colOff>7620</xdr:colOff>
          <xdr:row>111</xdr:row>
          <xdr:rowOff>30480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Input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112</xdr:row>
          <xdr:rowOff>160020</xdr:rowOff>
        </xdr:from>
        <xdr:to>
          <xdr:col>13</xdr:col>
          <xdr:colOff>22860</xdr:colOff>
          <xdr:row>114</xdr:row>
          <xdr:rowOff>22860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Recall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115</xdr:row>
          <xdr:rowOff>144780</xdr:rowOff>
        </xdr:from>
        <xdr:to>
          <xdr:col>13</xdr:col>
          <xdr:colOff>30480</xdr:colOff>
          <xdr:row>117</xdr:row>
          <xdr:rowOff>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2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Retry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126</xdr:row>
          <xdr:rowOff>160020</xdr:rowOff>
        </xdr:from>
        <xdr:to>
          <xdr:col>32</xdr:col>
          <xdr:colOff>45720</xdr:colOff>
          <xdr:row>128</xdr:row>
          <xdr:rowOff>22860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2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B3:BB39"/>
  <sheetViews>
    <sheetView topLeftCell="A19" workbookViewId="0">
      <selection activeCell="C4" sqref="C4"/>
    </sheetView>
  </sheetViews>
  <sheetFormatPr defaultRowHeight="13.2" x14ac:dyDescent="0.2"/>
  <cols>
    <col min="1" max="55" width="2.33203125" customWidth="1"/>
  </cols>
  <sheetData>
    <row r="3" spans="2:54" x14ac:dyDescent="0.2">
      <c r="B3" s="25"/>
      <c r="C3" s="25"/>
      <c r="D3" s="26">
        <v>1</v>
      </c>
      <c r="E3" s="25"/>
      <c r="F3" s="25"/>
      <c r="G3" s="25"/>
      <c r="H3" s="25"/>
      <c r="I3" s="25"/>
      <c r="J3" s="26">
        <v>1</v>
      </c>
      <c r="K3" s="26">
        <v>1</v>
      </c>
      <c r="L3" s="26">
        <v>1</v>
      </c>
      <c r="M3" s="26">
        <v>1</v>
      </c>
      <c r="N3" s="25"/>
      <c r="O3" s="25"/>
      <c r="P3" s="25"/>
      <c r="Q3" s="25"/>
      <c r="R3" s="25"/>
      <c r="S3" s="26">
        <v>1</v>
      </c>
      <c r="T3" s="26">
        <v>1</v>
      </c>
      <c r="U3" s="26">
        <v>1</v>
      </c>
      <c r="V3" s="25"/>
      <c r="W3" s="25"/>
      <c r="X3" s="25"/>
      <c r="Y3" s="25"/>
      <c r="Z3" s="26">
        <v>1</v>
      </c>
      <c r="AA3" s="26">
        <v>1</v>
      </c>
      <c r="AB3" s="26">
        <v>1</v>
      </c>
      <c r="AC3" s="26">
        <v>1</v>
      </c>
      <c r="AD3" s="25"/>
      <c r="AE3" s="25"/>
      <c r="AF3" s="25"/>
      <c r="AG3" s="25"/>
      <c r="AH3" s="26">
        <v>1</v>
      </c>
      <c r="AI3" s="26">
        <v>1</v>
      </c>
      <c r="AJ3" s="26">
        <v>1</v>
      </c>
      <c r="AK3" s="26">
        <v>1</v>
      </c>
      <c r="AL3" s="26">
        <v>1</v>
      </c>
      <c r="AM3" s="25"/>
      <c r="AN3" s="25"/>
      <c r="AO3" s="25"/>
      <c r="AP3" s="26">
        <v>1</v>
      </c>
      <c r="AQ3" s="26">
        <v>1</v>
      </c>
      <c r="AR3" s="26">
        <v>1</v>
      </c>
      <c r="AS3" s="26">
        <v>1</v>
      </c>
      <c r="AT3" s="26">
        <v>1</v>
      </c>
      <c r="AU3" s="25"/>
      <c r="AV3" s="25"/>
      <c r="AW3" s="25"/>
      <c r="AX3" s="25"/>
      <c r="AY3" s="26">
        <v>1</v>
      </c>
      <c r="AZ3" s="26">
        <v>1</v>
      </c>
      <c r="BA3" s="26">
        <v>1</v>
      </c>
      <c r="BB3" s="25"/>
    </row>
    <row r="4" spans="2:54" x14ac:dyDescent="0.2">
      <c r="B4" s="25"/>
      <c r="C4" s="26">
        <v>1</v>
      </c>
      <c r="D4" s="25"/>
      <c r="E4" s="26">
        <v>1</v>
      </c>
      <c r="F4" s="25"/>
      <c r="G4" s="25"/>
      <c r="H4" s="25"/>
      <c r="I4" s="25"/>
      <c r="J4" s="26">
        <v>1</v>
      </c>
      <c r="K4" s="25"/>
      <c r="L4" s="25"/>
      <c r="M4" s="25"/>
      <c r="N4" s="26">
        <v>1</v>
      </c>
      <c r="O4" s="25"/>
      <c r="P4" s="25"/>
      <c r="Q4" s="25"/>
      <c r="R4" s="26">
        <v>1</v>
      </c>
      <c r="S4" s="25"/>
      <c r="T4" s="25"/>
      <c r="U4" s="25"/>
      <c r="V4" s="26">
        <v>1</v>
      </c>
      <c r="W4" s="25"/>
      <c r="X4" s="25"/>
      <c r="Y4" s="25"/>
      <c r="Z4" s="26">
        <v>1</v>
      </c>
      <c r="AA4" s="25"/>
      <c r="AB4" s="25"/>
      <c r="AC4" s="25"/>
      <c r="AD4" s="26">
        <v>1</v>
      </c>
      <c r="AE4" s="25"/>
      <c r="AF4" s="25"/>
      <c r="AG4" s="25"/>
      <c r="AH4" s="26">
        <v>1</v>
      </c>
      <c r="AI4" s="25"/>
      <c r="AJ4" s="25"/>
      <c r="AK4" s="25"/>
      <c r="AL4" s="25"/>
      <c r="AM4" s="25"/>
      <c r="AN4" s="25"/>
      <c r="AO4" s="25"/>
      <c r="AP4" s="26">
        <v>1</v>
      </c>
      <c r="AQ4" s="25"/>
      <c r="AR4" s="25"/>
      <c r="AS4" s="25"/>
      <c r="AT4" s="25"/>
      <c r="AU4" s="25"/>
      <c r="AV4" s="25"/>
      <c r="AW4" s="25"/>
      <c r="AX4" s="26">
        <v>1</v>
      </c>
      <c r="AY4" s="25"/>
      <c r="AZ4" s="25"/>
      <c r="BA4" s="25"/>
      <c r="BB4" s="26">
        <v>1</v>
      </c>
    </row>
    <row r="5" spans="2:54" x14ac:dyDescent="0.2">
      <c r="B5" s="26">
        <v>1</v>
      </c>
      <c r="C5" s="25"/>
      <c r="D5" s="25"/>
      <c r="E5" s="25"/>
      <c r="F5" s="26">
        <v>1</v>
      </c>
      <c r="G5" s="25"/>
      <c r="H5" s="25"/>
      <c r="I5" s="25"/>
      <c r="J5" s="26">
        <v>1</v>
      </c>
      <c r="K5" s="25"/>
      <c r="L5" s="25"/>
      <c r="M5" s="25"/>
      <c r="N5" s="26">
        <v>1</v>
      </c>
      <c r="O5" s="25"/>
      <c r="P5" s="25"/>
      <c r="Q5" s="25"/>
      <c r="R5" s="26">
        <v>1</v>
      </c>
      <c r="S5" s="25"/>
      <c r="T5" s="25"/>
      <c r="U5" s="25"/>
      <c r="V5" s="25"/>
      <c r="W5" s="25"/>
      <c r="X5" s="25"/>
      <c r="Y5" s="25"/>
      <c r="Z5" s="26">
        <v>1</v>
      </c>
      <c r="AA5" s="25"/>
      <c r="AB5" s="25"/>
      <c r="AC5" s="25"/>
      <c r="AD5" s="26">
        <v>1</v>
      </c>
      <c r="AE5" s="25"/>
      <c r="AF5" s="25"/>
      <c r="AG5" s="25"/>
      <c r="AH5" s="26">
        <v>1</v>
      </c>
      <c r="AI5" s="25"/>
      <c r="AJ5" s="25"/>
      <c r="AK5" s="25"/>
      <c r="AL5" s="25"/>
      <c r="AM5" s="25"/>
      <c r="AN5" s="25"/>
      <c r="AO5" s="25"/>
      <c r="AP5" s="26">
        <v>1</v>
      </c>
      <c r="AQ5" s="25"/>
      <c r="AR5" s="25"/>
      <c r="AS5" s="25"/>
      <c r="AT5" s="25"/>
      <c r="AU5" s="25"/>
      <c r="AV5" s="25"/>
      <c r="AW5" s="25"/>
      <c r="AX5" s="26">
        <v>1</v>
      </c>
      <c r="AY5" s="25"/>
      <c r="AZ5" s="25"/>
      <c r="BA5" s="25"/>
      <c r="BB5" s="25"/>
    </row>
    <row r="6" spans="2:54" x14ac:dyDescent="0.2">
      <c r="B6" s="26">
        <v>1</v>
      </c>
      <c r="C6" s="25"/>
      <c r="D6" s="25"/>
      <c r="E6" s="25"/>
      <c r="F6" s="26">
        <v>1</v>
      </c>
      <c r="G6" s="25"/>
      <c r="H6" s="25"/>
      <c r="I6" s="25"/>
      <c r="J6" s="26">
        <v>1</v>
      </c>
      <c r="K6" s="26">
        <v>1</v>
      </c>
      <c r="L6" s="26">
        <v>1</v>
      </c>
      <c r="M6" s="26">
        <v>1</v>
      </c>
      <c r="N6" s="25"/>
      <c r="O6" s="25"/>
      <c r="P6" s="25"/>
      <c r="Q6" s="25"/>
      <c r="R6" s="26">
        <v>1</v>
      </c>
      <c r="S6" s="25"/>
      <c r="T6" s="25"/>
      <c r="U6" s="25"/>
      <c r="V6" s="25"/>
      <c r="W6" s="25"/>
      <c r="X6" s="25"/>
      <c r="Y6" s="25"/>
      <c r="Z6" s="26">
        <v>1</v>
      </c>
      <c r="AA6" s="25"/>
      <c r="AB6" s="25"/>
      <c r="AC6" s="25"/>
      <c r="AD6" s="26">
        <v>1</v>
      </c>
      <c r="AE6" s="25"/>
      <c r="AF6" s="25"/>
      <c r="AG6" s="25"/>
      <c r="AH6" s="26">
        <v>1</v>
      </c>
      <c r="AI6" s="26">
        <v>1</v>
      </c>
      <c r="AJ6" s="26">
        <v>1</v>
      </c>
      <c r="AK6" s="26">
        <v>1</v>
      </c>
      <c r="AL6" s="25"/>
      <c r="AM6" s="25"/>
      <c r="AN6" s="25"/>
      <c r="AO6" s="25"/>
      <c r="AP6" s="26">
        <v>1</v>
      </c>
      <c r="AQ6" s="26">
        <v>1</v>
      </c>
      <c r="AR6" s="26">
        <v>1</v>
      </c>
      <c r="AS6" s="26">
        <v>1</v>
      </c>
      <c r="AT6" s="25"/>
      <c r="AU6" s="25"/>
      <c r="AV6" s="25"/>
      <c r="AW6" s="25"/>
      <c r="AX6" s="26">
        <v>1</v>
      </c>
      <c r="AY6" s="25"/>
      <c r="AZ6" s="25"/>
      <c r="BA6" s="25"/>
      <c r="BB6" s="25"/>
    </row>
    <row r="7" spans="2:54" x14ac:dyDescent="0.2">
      <c r="B7" s="26">
        <v>1</v>
      </c>
      <c r="C7" s="26">
        <v>1</v>
      </c>
      <c r="D7" s="26">
        <v>1</v>
      </c>
      <c r="E7" s="26">
        <v>1</v>
      </c>
      <c r="F7" s="26">
        <v>1</v>
      </c>
      <c r="G7" s="25"/>
      <c r="H7" s="25"/>
      <c r="I7" s="25"/>
      <c r="J7" s="26">
        <v>1</v>
      </c>
      <c r="K7" s="25"/>
      <c r="L7" s="25"/>
      <c r="M7" s="25"/>
      <c r="N7" s="26">
        <v>1</v>
      </c>
      <c r="O7" s="25"/>
      <c r="P7" s="25"/>
      <c r="Q7" s="25"/>
      <c r="R7" s="26">
        <v>1</v>
      </c>
      <c r="S7" s="25"/>
      <c r="T7" s="25"/>
      <c r="U7" s="25"/>
      <c r="V7" s="25"/>
      <c r="W7" s="25"/>
      <c r="X7" s="25"/>
      <c r="Y7" s="25"/>
      <c r="Z7" s="26">
        <v>1</v>
      </c>
      <c r="AA7" s="25"/>
      <c r="AB7" s="25"/>
      <c r="AC7" s="25"/>
      <c r="AD7" s="26">
        <v>1</v>
      </c>
      <c r="AE7" s="25"/>
      <c r="AF7" s="25"/>
      <c r="AG7" s="25"/>
      <c r="AH7" s="26">
        <v>1</v>
      </c>
      <c r="AI7" s="25"/>
      <c r="AJ7" s="25"/>
      <c r="AK7" s="25"/>
      <c r="AL7" s="25"/>
      <c r="AM7" s="25"/>
      <c r="AN7" s="25"/>
      <c r="AO7" s="25"/>
      <c r="AP7" s="26">
        <v>1</v>
      </c>
      <c r="AQ7" s="25"/>
      <c r="AR7" s="25"/>
      <c r="AS7" s="25"/>
      <c r="AT7" s="25"/>
      <c r="AU7" s="25"/>
      <c r="AV7" s="25"/>
      <c r="AW7" s="25"/>
      <c r="AX7" s="26">
        <v>1</v>
      </c>
      <c r="AY7" s="25"/>
      <c r="AZ7" s="25"/>
      <c r="BA7" s="26">
        <v>1</v>
      </c>
      <c r="BB7" s="26">
        <v>1</v>
      </c>
    </row>
    <row r="8" spans="2:54" x14ac:dyDescent="0.2">
      <c r="B8" s="26">
        <v>1</v>
      </c>
      <c r="C8" s="25"/>
      <c r="D8" s="25"/>
      <c r="E8" s="25"/>
      <c r="F8" s="26">
        <v>1</v>
      </c>
      <c r="G8" s="25"/>
      <c r="H8" s="25"/>
      <c r="I8" s="25"/>
      <c r="J8" s="26">
        <v>1</v>
      </c>
      <c r="K8" s="25"/>
      <c r="L8" s="25"/>
      <c r="M8" s="25"/>
      <c r="N8" s="26">
        <v>1</v>
      </c>
      <c r="O8" s="25"/>
      <c r="P8" s="25"/>
      <c r="Q8" s="25"/>
      <c r="R8" s="26">
        <v>1</v>
      </c>
      <c r="S8" s="25"/>
      <c r="T8" s="25"/>
      <c r="U8" s="25"/>
      <c r="V8" s="26">
        <v>1</v>
      </c>
      <c r="W8" s="25"/>
      <c r="X8" s="25"/>
      <c r="Y8" s="25"/>
      <c r="Z8" s="26">
        <v>1</v>
      </c>
      <c r="AA8" s="25"/>
      <c r="AB8" s="25"/>
      <c r="AC8" s="25"/>
      <c r="AD8" s="26">
        <v>1</v>
      </c>
      <c r="AE8" s="25"/>
      <c r="AF8" s="25"/>
      <c r="AG8" s="25"/>
      <c r="AH8" s="26">
        <v>1</v>
      </c>
      <c r="AI8" s="25"/>
      <c r="AJ8" s="25"/>
      <c r="AK8" s="25"/>
      <c r="AL8" s="25"/>
      <c r="AM8" s="25"/>
      <c r="AN8" s="25"/>
      <c r="AO8" s="25"/>
      <c r="AP8" s="26">
        <v>1</v>
      </c>
      <c r="AQ8" s="25"/>
      <c r="AR8" s="25"/>
      <c r="AS8" s="25"/>
      <c r="AT8" s="25"/>
      <c r="AU8" s="25"/>
      <c r="AV8" s="25"/>
      <c r="AW8" s="25"/>
      <c r="AX8" s="26">
        <v>1</v>
      </c>
      <c r="AY8" s="25"/>
      <c r="AZ8" s="25"/>
      <c r="BA8" s="25"/>
      <c r="BB8" s="26">
        <v>1</v>
      </c>
    </row>
    <row r="9" spans="2:54" x14ac:dyDescent="0.2">
      <c r="B9" s="26">
        <v>1</v>
      </c>
      <c r="C9" s="25"/>
      <c r="D9" s="25"/>
      <c r="E9" s="25"/>
      <c r="F9" s="26">
        <v>1</v>
      </c>
      <c r="G9" s="25"/>
      <c r="H9" s="25"/>
      <c r="I9" s="25"/>
      <c r="J9" s="26">
        <v>1</v>
      </c>
      <c r="K9" s="26">
        <v>1</v>
      </c>
      <c r="L9" s="26">
        <v>1</v>
      </c>
      <c r="M9" s="26">
        <v>1</v>
      </c>
      <c r="N9" s="25"/>
      <c r="O9" s="25"/>
      <c r="P9" s="25"/>
      <c r="Q9" s="25"/>
      <c r="R9" s="25"/>
      <c r="S9" s="26">
        <v>1</v>
      </c>
      <c r="T9" s="26">
        <v>1</v>
      </c>
      <c r="U9" s="26">
        <v>1</v>
      </c>
      <c r="V9" s="25"/>
      <c r="W9" s="25"/>
      <c r="X9" s="25"/>
      <c r="Y9" s="25"/>
      <c r="Z9" s="26">
        <v>1</v>
      </c>
      <c r="AA9" s="26">
        <v>1</v>
      </c>
      <c r="AB9" s="26">
        <v>1</v>
      </c>
      <c r="AC9" s="26">
        <v>1</v>
      </c>
      <c r="AD9" s="25"/>
      <c r="AE9" s="25"/>
      <c r="AF9" s="25"/>
      <c r="AG9" s="25"/>
      <c r="AH9" s="26">
        <v>1</v>
      </c>
      <c r="AI9" s="26">
        <v>1</v>
      </c>
      <c r="AJ9" s="26">
        <v>1</v>
      </c>
      <c r="AK9" s="26">
        <v>1</v>
      </c>
      <c r="AL9" s="26">
        <v>1</v>
      </c>
      <c r="AM9" s="25"/>
      <c r="AN9" s="25"/>
      <c r="AO9" s="25"/>
      <c r="AP9" s="26">
        <v>1</v>
      </c>
      <c r="AQ9" s="25"/>
      <c r="AR9" s="25"/>
      <c r="AS9" s="25"/>
      <c r="AT9" s="25"/>
      <c r="AU9" s="25"/>
      <c r="AV9" s="25"/>
      <c r="AW9" s="25"/>
      <c r="AX9" s="25"/>
      <c r="AY9" s="26">
        <v>1</v>
      </c>
      <c r="AZ9" s="26">
        <v>1</v>
      </c>
      <c r="BA9" s="26">
        <v>1</v>
      </c>
      <c r="BB9" s="25"/>
    </row>
    <row r="11" spans="2:54" x14ac:dyDescent="0.2">
      <c r="B11" s="27"/>
      <c r="C11" s="27"/>
      <c r="D11" s="27"/>
      <c r="E11" s="27"/>
      <c r="F11" s="27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2:54" x14ac:dyDescent="0.2">
      <c r="B12" s="27"/>
      <c r="C12" s="27"/>
      <c r="D12" s="27"/>
      <c r="E12" s="27"/>
      <c r="F12" s="27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2:54" x14ac:dyDescent="0.2">
      <c r="B13" s="26">
        <v>1</v>
      </c>
      <c r="C13" s="25"/>
      <c r="D13" s="25"/>
      <c r="E13" s="25"/>
      <c r="F13" s="26">
        <v>1</v>
      </c>
      <c r="G13" s="25"/>
      <c r="H13" s="25"/>
      <c r="I13" s="25"/>
      <c r="J13" s="25"/>
      <c r="K13" s="26">
        <v>1</v>
      </c>
      <c r="L13" s="26">
        <v>1</v>
      </c>
      <c r="M13" s="26">
        <v>1</v>
      </c>
      <c r="N13" s="25"/>
      <c r="O13" s="25"/>
      <c r="P13" s="25"/>
      <c r="Q13" s="25"/>
      <c r="R13" s="25"/>
      <c r="S13" s="26">
        <v>1</v>
      </c>
      <c r="T13" s="26">
        <v>1</v>
      </c>
      <c r="U13" s="26">
        <v>1</v>
      </c>
      <c r="V13" s="25"/>
      <c r="W13" s="25"/>
      <c r="X13" s="25"/>
      <c r="Y13" s="25"/>
      <c r="Z13" s="26">
        <v>1</v>
      </c>
      <c r="AA13" s="25"/>
      <c r="AB13" s="25"/>
      <c r="AC13" s="25"/>
      <c r="AD13" s="26">
        <v>1</v>
      </c>
      <c r="AE13" s="25"/>
      <c r="AF13" s="25"/>
      <c r="AG13" s="25"/>
      <c r="AH13" s="26">
        <v>1</v>
      </c>
      <c r="AI13" s="25"/>
      <c r="AJ13" s="25"/>
      <c r="AK13" s="25"/>
      <c r="AL13" s="25"/>
      <c r="AM13" s="25"/>
      <c r="AN13" s="25"/>
      <c r="AO13" s="25"/>
      <c r="AP13" s="26">
        <v>1</v>
      </c>
      <c r="AQ13" s="25"/>
      <c r="AR13" s="25"/>
      <c r="AS13" s="25"/>
      <c r="AT13" s="26">
        <v>1</v>
      </c>
      <c r="AU13" s="25"/>
      <c r="AV13" s="25"/>
      <c r="AW13" s="25"/>
      <c r="AX13" s="26">
        <v>1</v>
      </c>
      <c r="AY13" s="25"/>
      <c r="AZ13" s="25"/>
      <c r="BA13" s="25"/>
      <c r="BB13" s="26">
        <v>1</v>
      </c>
    </row>
    <row r="14" spans="2:54" x14ac:dyDescent="0.2">
      <c r="B14" s="26">
        <v>1</v>
      </c>
      <c r="C14" s="25"/>
      <c r="D14" s="25"/>
      <c r="E14" s="25"/>
      <c r="F14" s="26">
        <v>1</v>
      </c>
      <c r="G14" s="25"/>
      <c r="H14" s="25"/>
      <c r="I14" s="25"/>
      <c r="J14" s="25"/>
      <c r="K14" s="25"/>
      <c r="L14" s="26">
        <v>1</v>
      </c>
      <c r="M14" s="25"/>
      <c r="N14" s="25"/>
      <c r="O14" s="25"/>
      <c r="P14" s="25"/>
      <c r="Q14" s="25"/>
      <c r="R14" s="25"/>
      <c r="S14" s="25"/>
      <c r="T14" s="26">
        <v>1</v>
      </c>
      <c r="U14" s="25"/>
      <c r="V14" s="25"/>
      <c r="W14" s="25"/>
      <c r="X14" s="25"/>
      <c r="Y14" s="25"/>
      <c r="Z14" s="26">
        <v>1</v>
      </c>
      <c r="AA14" s="25"/>
      <c r="AB14" s="25"/>
      <c r="AC14" s="26">
        <v>1</v>
      </c>
      <c r="AD14" s="25"/>
      <c r="AE14" s="25"/>
      <c r="AF14" s="25"/>
      <c r="AG14" s="25"/>
      <c r="AH14" s="26">
        <v>1</v>
      </c>
      <c r="AI14" s="25"/>
      <c r="AJ14" s="25"/>
      <c r="AK14" s="25"/>
      <c r="AL14" s="25"/>
      <c r="AM14" s="25"/>
      <c r="AN14" s="25"/>
      <c r="AO14" s="25"/>
      <c r="AP14" s="26">
        <v>1</v>
      </c>
      <c r="AQ14" s="26">
        <v>1</v>
      </c>
      <c r="AR14" s="25"/>
      <c r="AS14" s="26">
        <v>1</v>
      </c>
      <c r="AT14" s="26">
        <v>1</v>
      </c>
      <c r="AU14" s="25"/>
      <c r="AV14" s="25"/>
      <c r="AW14" s="25"/>
      <c r="AX14" s="26">
        <v>1</v>
      </c>
      <c r="AY14" s="26">
        <v>1</v>
      </c>
      <c r="AZ14" s="25"/>
      <c r="BA14" s="25"/>
      <c r="BB14" s="26">
        <v>1</v>
      </c>
    </row>
    <row r="15" spans="2:54" x14ac:dyDescent="0.2">
      <c r="B15" s="26">
        <v>1</v>
      </c>
      <c r="C15" s="25"/>
      <c r="D15" s="25"/>
      <c r="E15" s="25"/>
      <c r="F15" s="26">
        <v>1</v>
      </c>
      <c r="G15" s="25"/>
      <c r="H15" s="25"/>
      <c r="I15" s="25"/>
      <c r="J15" s="25"/>
      <c r="K15" s="25"/>
      <c r="L15" s="26">
        <v>1</v>
      </c>
      <c r="M15" s="25"/>
      <c r="N15" s="25"/>
      <c r="O15" s="25"/>
      <c r="P15" s="25"/>
      <c r="Q15" s="25"/>
      <c r="R15" s="25"/>
      <c r="S15" s="25"/>
      <c r="T15" s="26">
        <v>1</v>
      </c>
      <c r="U15" s="25"/>
      <c r="V15" s="25"/>
      <c r="W15" s="25"/>
      <c r="X15" s="25"/>
      <c r="Y15" s="25"/>
      <c r="Z15" s="26">
        <v>1</v>
      </c>
      <c r="AA15" s="25"/>
      <c r="AB15" s="26">
        <v>1</v>
      </c>
      <c r="AC15" s="25"/>
      <c r="AD15" s="25"/>
      <c r="AE15" s="25"/>
      <c r="AF15" s="25"/>
      <c r="AG15" s="25"/>
      <c r="AH15" s="26">
        <v>1</v>
      </c>
      <c r="AI15" s="25"/>
      <c r="AJ15" s="25"/>
      <c r="AK15" s="25"/>
      <c r="AL15" s="25"/>
      <c r="AM15" s="25"/>
      <c r="AN15" s="25"/>
      <c r="AO15" s="25"/>
      <c r="AP15" s="26">
        <v>1</v>
      </c>
      <c r="AQ15" s="25"/>
      <c r="AR15" s="26">
        <v>1</v>
      </c>
      <c r="AS15" s="25"/>
      <c r="AT15" s="26">
        <v>1</v>
      </c>
      <c r="AU15" s="25"/>
      <c r="AV15" s="25"/>
      <c r="AW15" s="25"/>
      <c r="AX15" s="26">
        <v>1</v>
      </c>
      <c r="AY15" s="25"/>
      <c r="AZ15" s="26">
        <v>1</v>
      </c>
      <c r="BA15" s="25"/>
      <c r="BB15" s="26">
        <v>1</v>
      </c>
    </row>
    <row r="16" spans="2:54" x14ac:dyDescent="0.2">
      <c r="B16" s="26">
        <v>1</v>
      </c>
      <c r="C16" s="26">
        <v>1</v>
      </c>
      <c r="D16" s="26">
        <v>1</v>
      </c>
      <c r="E16" s="26">
        <v>1</v>
      </c>
      <c r="F16" s="26">
        <v>1</v>
      </c>
      <c r="G16" s="25"/>
      <c r="H16" s="25"/>
      <c r="I16" s="25"/>
      <c r="J16" s="25"/>
      <c r="K16" s="25"/>
      <c r="L16" s="26">
        <v>1</v>
      </c>
      <c r="M16" s="25"/>
      <c r="N16" s="25"/>
      <c r="O16" s="25"/>
      <c r="P16" s="25"/>
      <c r="Q16" s="25"/>
      <c r="R16" s="25"/>
      <c r="S16" s="25"/>
      <c r="T16" s="26">
        <v>1</v>
      </c>
      <c r="U16" s="25"/>
      <c r="V16" s="25"/>
      <c r="W16" s="25"/>
      <c r="X16" s="25"/>
      <c r="Y16" s="25"/>
      <c r="Z16" s="26">
        <v>1</v>
      </c>
      <c r="AA16" s="26">
        <v>1</v>
      </c>
      <c r="AB16" s="25"/>
      <c r="AC16" s="25"/>
      <c r="AD16" s="25"/>
      <c r="AE16" s="25"/>
      <c r="AF16" s="25"/>
      <c r="AG16" s="25"/>
      <c r="AH16" s="26">
        <v>1</v>
      </c>
      <c r="AI16" s="25"/>
      <c r="AJ16" s="25"/>
      <c r="AK16" s="25"/>
      <c r="AL16" s="25"/>
      <c r="AM16" s="25"/>
      <c r="AN16" s="25"/>
      <c r="AO16" s="25"/>
      <c r="AP16" s="26">
        <v>1</v>
      </c>
      <c r="AQ16" s="25"/>
      <c r="AR16" s="26">
        <v>1</v>
      </c>
      <c r="AS16" s="25"/>
      <c r="AT16" s="26">
        <v>1</v>
      </c>
      <c r="AU16" s="25"/>
      <c r="AV16" s="25"/>
      <c r="AW16" s="25"/>
      <c r="AX16" s="26">
        <v>1</v>
      </c>
      <c r="AY16" s="25"/>
      <c r="AZ16" s="26">
        <v>1</v>
      </c>
      <c r="BA16" s="25"/>
      <c r="BB16" s="26">
        <v>1</v>
      </c>
    </row>
    <row r="17" spans="2:54" x14ac:dyDescent="0.2">
      <c r="B17" s="26">
        <v>1</v>
      </c>
      <c r="C17" s="25"/>
      <c r="D17" s="25"/>
      <c r="E17" s="25"/>
      <c r="F17" s="26">
        <v>1</v>
      </c>
      <c r="G17" s="25"/>
      <c r="H17" s="25"/>
      <c r="I17" s="25"/>
      <c r="J17" s="25"/>
      <c r="K17" s="25"/>
      <c r="L17" s="26">
        <v>1</v>
      </c>
      <c r="M17" s="25"/>
      <c r="N17" s="25"/>
      <c r="O17" s="25"/>
      <c r="P17" s="25"/>
      <c r="Q17" s="25"/>
      <c r="R17" s="25"/>
      <c r="S17" s="25"/>
      <c r="T17" s="26">
        <v>1</v>
      </c>
      <c r="U17" s="25"/>
      <c r="V17" s="25"/>
      <c r="W17" s="25"/>
      <c r="X17" s="25"/>
      <c r="Y17" s="25"/>
      <c r="Z17" s="26">
        <v>1</v>
      </c>
      <c r="AA17" s="25"/>
      <c r="AB17" s="26">
        <v>1</v>
      </c>
      <c r="AC17" s="25"/>
      <c r="AD17" s="25"/>
      <c r="AE17" s="25"/>
      <c r="AF17" s="25"/>
      <c r="AG17" s="25"/>
      <c r="AH17" s="26">
        <v>1</v>
      </c>
      <c r="AI17" s="25"/>
      <c r="AJ17" s="25"/>
      <c r="AK17" s="25"/>
      <c r="AL17" s="25"/>
      <c r="AM17" s="25"/>
      <c r="AN17" s="25"/>
      <c r="AO17" s="25"/>
      <c r="AP17" s="26">
        <v>1</v>
      </c>
      <c r="AQ17" s="25"/>
      <c r="AR17" s="25"/>
      <c r="AS17" s="25"/>
      <c r="AT17" s="26">
        <v>1</v>
      </c>
      <c r="AU17" s="25"/>
      <c r="AV17" s="25"/>
      <c r="AW17" s="25"/>
      <c r="AX17" s="26">
        <v>1</v>
      </c>
      <c r="AY17" s="25"/>
      <c r="AZ17" s="26">
        <v>1</v>
      </c>
      <c r="BA17" s="25"/>
      <c r="BB17" s="26">
        <v>1</v>
      </c>
    </row>
    <row r="18" spans="2:54" x14ac:dyDescent="0.2">
      <c r="B18" s="26">
        <v>1</v>
      </c>
      <c r="C18" s="25"/>
      <c r="D18" s="25"/>
      <c r="E18" s="25"/>
      <c r="F18" s="26">
        <v>1</v>
      </c>
      <c r="G18" s="25"/>
      <c r="H18" s="25"/>
      <c r="I18" s="25"/>
      <c r="J18" s="25"/>
      <c r="K18" s="25"/>
      <c r="L18" s="26">
        <v>1</v>
      </c>
      <c r="M18" s="25"/>
      <c r="N18" s="25"/>
      <c r="O18" s="25"/>
      <c r="P18" s="25"/>
      <c r="Q18" s="25"/>
      <c r="R18" s="26">
        <v>1</v>
      </c>
      <c r="S18" s="25"/>
      <c r="T18" s="26">
        <v>1</v>
      </c>
      <c r="U18" s="25"/>
      <c r="V18" s="25"/>
      <c r="W18" s="25"/>
      <c r="X18" s="25"/>
      <c r="Y18" s="25"/>
      <c r="Z18" s="26">
        <v>1</v>
      </c>
      <c r="AA18" s="25"/>
      <c r="AB18" s="25"/>
      <c r="AC18" s="26">
        <v>1</v>
      </c>
      <c r="AD18" s="25"/>
      <c r="AE18" s="25"/>
      <c r="AF18" s="25"/>
      <c r="AG18" s="25"/>
      <c r="AH18" s="26">
        <v>1</v>
      </c>
      <c r="AI18" s="25"/>
      <c r="AJ18" s="25"/>
      <c r="AK18" s="25"/>
      <c r="AL18" s="25"/>
      <c r="AM18" s="25"/>
      <c r="AN18" s="25"/>
      <c r="AO18" s="25"/>
      <c r="AP18" s="26">
        <v>1</v>
      </c>
      <c r="AQ18" s="25"/>
      <c r="AR18" s="25"/>
      <c r="AS18" s="25"/>
      <c r="AT18" s="26">
        <v>1</v>
      </c>
      <c r="AU18" s="25"/>
      <c r="AV18" s="25"/>
      <c r="AW18" s="25"/>
      <c r="AX18" s="26">
        <v>1</v>
      </c>
      <c r="AY18" s="25"/>
      <c r="AZ18" s="25"/>
      <c r="BA18" s="26">
        <v>1</v>
      </c>
      <c r="BB18" s="26">
        <v>1</v>
      </c>
    </row>
    <row r="19" spans="2:54" x14ac:dyDescent="0.2">
      <c r="B19" s="26">
        <v>1</v>
      </c>
      <c r="C19" s="25"/>
      <c r="D19" s="25"/>
      <c r="E19" s="25"/>
      <c r="F19" s="26">
        <v>1</v>
      </c>
      <c r="G19" s="25"/>
      <c r="H19" s="25"/>
      <c r="I19" s="25"/>
      <c r="J19" s="25"/>
      <c r="K19" s="26">
        <v>1</v>
      </c>
      <c r="L19" s="26">
        <v>1</v>
      </c>
      <c r="M19" s="26">
        <v>1</v>
      </c>
      <c r="N19" s="25"/>
      <c r="O19" s="25"/>
      <c r="P19" s="25"/>
      <c r="Q19" s="25"/>
      <c r="R19" s="25"/>
      <c r="S19" s="26">
        <v>1</v>
      </c>
      <c r="T19" s="25"/>
      <c r="U19" s="25"/>
      <c r="V19" s="25"/>
      <c r="W19" s="25"/>
      <c r="X19" s="25"/>
      <c r="Y19" s="25"/>
      <c r="Z19" s="26">
        <v>1</v>
      </c>
      <c r="AA19" s="25"/>
      <c r="AB19" s="25"/>
      <c r="AC19" s="25"/>
      <c r="AD19" s="26">
        <v>1</v>
      </c>
      <c r="AE19" s="25"/>
      <c r="AF19" s="25"/>
      <c r="AG19" s="25"/>
      <c r="AH19" s="26">
        <v>1</v>
      </c>
      <c r="AI19" s="26">
        <v>1</v>
      </c>
      <c r="AJ19" s="26">
        <v>1</v>
      </c>
      <c r="AK19" s="26">
        <v>1</v>
      </c>
      <c r="AL19" s="26">
        <v>1</v>
      </c>
      <c r="AM19" s="25"/>
      <c r="AN19" s="25"/>
      <c r="AO19" s="25"/>
      <c r="AP19" s="26">
        <v>1</v>
      </c>
      <c r="AQ19" s="25"/>
      <c r="AR19" s="25"/>
      <c r="AS19" s="25"/>
      <c r="AT19" s="26">
        <v>1</v>
      </c>
      <c r="AU19" s="25"/>
      <c r="AV19" s="25"/>
      <c r="AW19" s="25"/>
      <c r="AX19" s="26">
        <v>1</v>
      </c>
      <c r="AY19" s="25"/>
      <c r="AZ19" s="25"/>
      <c r="BA19" s="25"/>
      <c r="BB19" s="26">
        <v>1</v>
      </c>
    </row>
    <row r="20" spans="2:54" x14ac:dyDescent="0.2">
      <c r="B20" s="27"/>
      <c r="C20" s="27"/>
      <c r="D20" s="27"/>
      <c r="E20" s="27"/>
      <c r="F20" s="27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2:54" x14ac:dyDescent="0.2">
      <c r="B21" s="27"/>
      <c r="C21" s="27"/>
      <c r="D21" s="27"/>
      <c r="E21" s="27"/>
      <c r="F21" s="27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2:54" x14ac:dyDescent="0.2">
      <c r="B22" s="27"/>
      <c r="C22" s="27"/>
      <c r="D22" s="27"/>
      <c r="E22" s="27"/>
      <c r="F22" s="27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2:54" x14ac:dyDescent="0.2">
      <c r="B23" s="25"/>
      <c r="C23" s="26">
        <v>1</v>
      </c>
      <c r="D23" s="26">
        <v>1</v>
      </c>
      <c r="E23" s="26">
        <v>1</v>
      </c>
      <c r="F23" s="25"/>
      <c r="G23" s="25"/>
      <c r="H23" s="25"/>
      <c r="I23" s="25"/>
      <c r="J23" s="26">
        <v>1</v>
      </c>
      <c r="K23" s="26">
        <v>1</v>
      </c>
      <c r="L23" s="26">
        <v>1</v>
      </c>
      <c r="M23" s="26">
        <v>1</v>
      </c>
      <c r="N23" s="25"/>
      <c r="O23" s="25"/>
      <c r="P23" s="25"/>
      <c r="Q23" s="25"/>
      <c r="R23" s="25"/>
      <c r="S23" s="26">
        <v>1</v>
      </c>
      <c r="T23" s="26">
        <v>1</v>
      </c>
      <c r="U23" s="26">
        <v>1</v>
      </c>
      <c r="V23" s="25"/>
      <c r="W23" s="25"/>
      <c r="X23" s="25"/>
      <c r="Y23" s="25"/>
      <c r="Z23" s="26">
        <v>1</v>
      </c>
      <c r="AA23" s="26">
        <v>1</v>
      </c>
      <c r="AB23" s="26">
        <v>1</v>
      </c>
      <c r="AC23" s="26">
        <v>1</v>
      </c>
      <c r="AD23" s="25"/>
      <c r="AE23" s="25"/>
      <c r="AF23" s="25"/>
      <c r="AG23" s="25"/>
      <c r="AH23" s="25"/>
      <c r="AI23" s="26">
        <v>1</v>
      </c>
      <c r="AJ23" s="26">
        <v>1</v>
      </c>
      <c r="AK23" s="26">
        <v>1</v>
      </c>
      <c r="AL23" s="25"/>
      <c r="AM23" s="25"/>
      <c r="AN23" s="25"/>
      <c r="AO23" s="25"/>
      <c r="AP23" s="26">
        <v>1</v>
      </c>
      <c r="AQ23" s="26">
        <v>1</v>
      </c>
      <c r="AR23" s="26">
        <v>1</v>
      </c>
      <c r="AS23" s="26">
        <v>1</v>
      </c>
      <c r="AT23" s="26">
        <v>1</v>
      </c>
      <c r="AU23" s="25"/>
      <c r="AV23" s="25"/>
      <c r="AW23" s="25"/>
      <c r="AX23" s="26">
        <v>1</v>
      </c>
      <c r="AY23" s="25"/>
      <c r="AZ23" s="25"/>
      <c r="BA23" s="25"/>
      <c r="BB23" s="26">
        <v>1</v>
      </c>
    </row>
    <row r="24" spans="2:54" x14ac:dyDescent="0.2">
      <c r="B24" s="26">
        <v>1</v>
      </c>
      <c r="C24" s="25"/>
      <c r="D24" s="25"/>
      <c r="E24" s="25"/>
      <c r="F24" s="26">
        <v>1</v>
      </c>
      <c r="G24" s="25"/>
      <c r="H24" s="25"/>
      <c r="I24" s="25"/>
      <c r="J24" s="26">
        <v>1</v>
      </c>
      <c r="K24" s="25"/>
      <c r="L24" s="25"/>
      <c r="M24" s="25"/>
      <c r="N24" s="26">
        <v>1</v>
      </c>
      <c r="O24" s="25"/>
      <c r="P24" s="25"/>
      <c r="Q24" s="25"/>
      <c r="R24" s="26">
        <v>1</v>
      </c>
      <c r="S24" s="25"/>
      <c r="T24" s="25"/>
      <c r="U24" s="25"/>
      <c r="V24" s="26">
        <v>1</v>
      </c>
      <c r="W24" s="25"/>
      <c r="X24" s="25"/>
      <c r="Y24" s="25"/>
      <c r="Z24" s="26">
        <v>1</v>
      </c>
      <c r="AA24" s="25"/>
      <c r="AB24" s="25"/>
      <c r="AC24" s="25"/>
      <c r="AD24" s="26">
        <v>1</v>
      </c>
      <c r="AE24" s="25"/>
      <c r="AF24" s="25"/>
      <c r="AG24" s="25"/>
      <c r="AH24" s="26">
        <v>1</v>
      </c>
      <c r="AI24" s="25"/>
      <c r="AJ24" s="25"/>
      <c r="AK24" s="25"/>
      <c r="AL24" s="26">
        <v>1</v>
      </c>
      <c r="AM24" s="25"/>
      <c r="AN24" s="25"/>
      <c r="AO24" s="25"/>
      <c r="AP24" s="25"/>
      <c r="AQ24" s="25"/>
      <c r="AR24" s="26">
        <v>1</v>
      </c>
      <c r="AS24" s="25"/>
      <c r="AT24" s="25"/>
      <c r="AU24" s="25"/>
      <c r="AV24" s="25"/>
      <c r="AW24" s="25"/>
      <c r="AX24" s="26">
        <v>1</v>
      </c>
      <c r="AY24" s="25"/>
      <c r="AZ24" s="25"/>
      <c r="BA24" s="25"/>
      <c r="BB24" s="26">
        <v>1</v>
      </c>
    </row>
    <row r="25" spans="2:54" x14ac:dyDescent="0.2">
      <c r="B25" s="26">
        <v>1</v>
      </c>
      <c r="C25" s="25"/>
      <c r="D25" s="25"/>
      <c r="E25" s="25"/>
      <c r="F25" s="26">
        <v>1</v>
      </c>
      <c r="G25" s="25"/>
      <c r="H25" s="25"/>
      <c r="I25" s="25"/>
      <c r="J25" s="26">
        <v>1</v>
      </c>
      <c r="K25" s="25"/>
      <c r="L25" s="25"/>
      <c r="M25" s="25"/>
      <c r="N25" s="26">
        <v>1</v>
      </c>
      <c r="O25" s="25"/>
      <c r="P25" s="25"/>
      <c r="Q25" s="25"/>
      <c r="R25" s="26">
        <v>1</v>
      </c>
      <c r="S25" s="25"/>
      <c r="T25" s="25"/>
      <c r="U25" s="25"/>
      <c r="V25" s="26">
        <v>1</v>
      </c>
      <c r="W25" s="25"/>
      <c r="X25" s="25"/>
      <c r="Y25" s="25"/>
      <c r="Z25" s="26">
        <v>1</v>
      </c>
      <c r="AA25" s="25"/>
      <c r="AB25" s="25"/>
      <c r="AC25" s="25"/>
      <c r="AD25" s="26">
        <v>1</v>
      </c>
      <c r="AE25" s="25"/>
      <c r="AF25" s="25"/>
      <c r="AG25" s="25"/>
      <c r="AH25" s="26">
        <v>1</v>
      </c>
      <c r="AJ25" s="25"/>
      <c r="AK25" s="25"/>
      <c r="AL25" s="25"/>
      <c r="AM25" s="25"/>
      <c r="AN25" s="25"/>
      <c r="AO25" s="25"/>
      <c r="AP25" s="25"/>
      <c r="AQ25" s="25"/>
      <c r="AR25" s="26">
        <v>1</v>
      </c>
      <c r="AS25" s="25"/>
      <c r="AT25" s="25"/>
      <c r="AU25" s="25"/>
      <c r="AV25" s="25"/>
      <c r="AW25" s="25"/>
      <c r="AX25" s="26">
        <v>1</v>
      </c>
      <c r="AY25" s="25"/>
      <c r="AZ25" s="25"/>
      <c r="BA25" s="25"/>
      <c r="BB25" s="26">
        <v>1</v>
      </c>
    </row>
    <row r="26" spans="2:54" x14ac:dyDescent="0.2">
      <c r="B26" s="26">
        <v>1</v>
      </c>
      <c r="C26" s="25"/>
      <c r="D26" s="25"/>
      <c r="E26" s="25"/>
      <c r="F26" s="26">
        <v>1</v>
      </c>
      <c r="G26" s="25"/>
      <c r="H26" s="25"/>
      <c r="I26" s="25"/>
      <c r="J26" s="26">
        <v>1</v>
      </c>
      <c r="K26" s="26">
        <v>1</v>
      </c>
      <c r="L26" s="26">
        <v>1</v>
      </c>
      <c r="M26" s="26">
        <v>1</v>
      </c>
      <c r="N26" s="25"/>
      <c r="O26" s="25"/>
      <c r="P26" s="25"/>
      <c r="Q26" s="25"/>
      <c r="R26" s="26">
        <v>1</v>
      </c>
      <c r="S26" s="25"/>
      <c r="T26" s="25"/>
      <c r="U26" s="25"/>
      <c r="V26" s="26">
        <v>1</v>
      </c>
      <c r="W26" s="25"/>
      <c r="X26" s="25"/>
      <c r="Y26" s="25"/>
      <c r="Z26" s="26">
        <v>1</v>
      </c>
      <c r="AA26" s="26">
        <v>1</v>
      </c>
      <c r="AB26" s="26">
        <v>1</v>
      </c>
      <c r="AC26" s="26">
        <v>1</v>
      </c>
      <c r="AD26" s="25"/>
      <c r="AE26" s="25"/>
      <c r="AF26" s="25"/>
      <c r="AG26" s="25"/>
      <c r="AH26" s="25"/>
      <c r="AI26" s="26">
        <v>1</v>
      </c>
      <c r="AJ26" s="26">
        <v>1</v>
      </c>
      <c r="AK26" s="26">
        <v>1</v>
      </c>
      <c r="AL26" s="25"/>
      <c r="AM26" s="25"/>
      <c r="AN26" s="25"/>
      <c r="AO26" s="25"/>
      <c r="AP26" s="25"/>
      <c r="AQ26" s="25"/>
      <c r="AR26" s="26">
        <v>1</v>
      </c>
      <c r="AS26" s="25"/>
      <c r="AT26" s="25"/>
      <c r="AU26" s="25"/>
      <c r="AV26" s="25"/>
      <c r="AW26" s="25"/>
      <c r="AX26" s="26">
        <v>1</v>
      </c>
      <c r="AY26" s="25"/>
      <c r="AZ26" s="25"/>
      <c r="BA26" s="25"/>
      <c r="BB26" s="26">
        <v>1</v>
      </c>
    </row>
    <row r="27" spans="2:54" x14ac:dyDescent="0.2">
      <c r="B27" s="26">
        <v>1</v>
      </c>
      <c r="C27" s="25"/>
      <c r="D27" s="25"/>
      <c r="E27" s="25"/>
      <c r="F27" s="26">
        <v>1</v>
      </c>
      <c r="G27" s="25"/>
      <c r="H27" s="25"/>
      <c r="I27" s="25"/>
      <c r="J27" s="26">
        <v>1</v>
      </c>
      <c r="K27" s="25"/>
      <c r="L27" s="25"/>
      <c r="M27" s="25"/>
      <c r="N27" s="25"/>
      <c r="O27" s="25"/>
      <c r="P27" s="25"/>
      <c r="Q27" s="25"/>
      <c r="R27" s="26">
        <v>1</v>
      </c>
      <c r="S27" s="25"/>
      <c r="T27" s="26">
        <v>1</v>
      </c>
      <c r="U27" s="25"/>
      <c r="V27" s="26">
        <v>1</v>
      </c>
      <c r="W27" s="25"/>
      <c r="X27" s="25"/>
      <c r="Y27" s="25"/>
      <c r="Z27" s="26">
        <v>1</v>
      </c>
      <c r="AA27" s="25"/>
      <c r="AB27" s="26">
        <v>1</v>
      </c>
      <c r="AC27" s="25"/>
      <c r="AD27" s="25"/>
      <c r="AE27" s="25"/>
      <c r="AF27" s="25"/>
      <c r="AG27" s="25"/>
      <c r="AH27" s="25"/>
      <c r="AI27" s="25"/>
      <c r="AJ27" s="25"/>
      <c r="AL27" s="26">
        <v>1</v>
      </c>
      <c r="AM27" s="25"/>
      <c r="AN27" s="25"/>
      <c r="AO27" s="25"/>
      <c r="AP27" s="25"/>
      <c r="AQ27" s="25"/>
      <c r="AR27" s="26">
        <v>1</v>
      </c>
      <c r="AS27" s="25"/>
      <c r="AT27" s="25"/>
      <c r="AU27" s="25"/>
      <c r="AV27" s="25"/>
      <c r="AW27" s="25"/>
      <c r="AX27" s="26">
        <v>1</v>
      </c>
      <c r="AY27" s="25"/>
      <c r="AZ27" s="25"/>
      <c r="BA27" s="25"/>
      <c r="BB27" s="26">
        <v>1</v>
      </c>
    </row>
    <row r="28" spans="2:54" x14ac:dyDescent="0.2">
      <c r="B28" s="26">
        <v>1</v>
      </c>
      <c r="C28" s="25"/>
      <c r="D28" s="25"/>
      <c r="E28" s="25"/>
      <c r="F28" s="26">
        <v>1</v>
      </c>
      <c r="G28" s="25"/>
      <c r="H28" s="25"/>
      <c r="I28" s="25"/>
      <c r="J28" s="26">
        <v>1</v>
      </c>
      <c r="K28" s="25"/>
      <c r="L28" s="25"/>
      <c r="M28" s="25"/>
      <c r="N28" s="25"/>
      <c r="O28" s="25"/>
      <c r="P28" s="25"/>
      <c r="Q28" s="25"/>
      <c r="R28" s="26">
        <v>1</v>
      </c>
      <c r="S28" s="25"/>
      <c r="T28" s="25"/>
      <c r="U28" s="26">
        <v>1</v>
      </c>
      <c r="V28" s="26">
        <v>1</v>
      </c>
      <c r="W28" s="25"/>
      <c r="X28" s="25"/>
      <c r="Y28" s="25"/>
      <c r="Z28" s="26">
        <v>1</v>
      </c>
      <c r="AA28" s="25"/>
      <c r="AB28" s="25"/>
      <c r="AC28" s="26">
        <v>1</v>
      </c>
      <c r="AD28" s="25"/>
      <c r="AE28" s="25"/>
      <c r="AF28" s="25"/>
      <c r="AG28" s="25"/>
      <c r="AH28" s="26">
        <v>1</v>
      </c>
      <c r="AI28" s="25"/>
      <c r="AJ28" s="25"/>
      <c r="AK28" s="25"/>
      <c r="AL28" s="26">
        <v>1</v>
      </c>
      <c r="AM28" s="25"/>
      <c r="AN28" s="25"/>
      <c r="AO28" s="25"/>
      <c r="AP28" s="25"/>
      <c r="AQ28" s="25"/>
      <c r="AR28" s="26">
        <v>1</v>
      </c>
      <c r="AS28" s="25"/>
      <c r="AT28" s="25"/>
      <c r="AU28" s="25"/>
      <c r="AV28" s="25"/>
      <c r="AW28" s="25"/>
      <c r="AX28" s="26">
        <v>1</v>
      </c>
      <c r="AY28" s="25"/>
      <c r="AZ28" s="25"/>
      <c r="BA28" s="25"/>
      <c r="BB28" s="26">
        <v>1</v>
      </c>
    </row>
    <row r="29" spans="2:54" x14ac:dyDescent="0.2">
      <c r="B29" s="25"/>
      <c r="C29" s="26">
        <v>1</v>
      </c>
      <c r="D29" s="26">
        <v>1</v>
      </c>
      <c r="E29" s="26">
        <v>1</v>
      </c>
      <c r="F29" s="25"/>
      <c r="G29" s="25"/>
      <c r="H29" s="25"/>
      <c r="I29" s="25"/>
      <c r="J29" s="26">
        <v>1</v>
      </c>
      <c r="K29" s="25"/>
      <c r="L29" s="25"/>
      <c r="M29" s="25"/>
      <c r="N29" s="25"/>
      <c r="O29" s="25"/>
      <c r="P29" s="25"/>
      <c r="Q29" s="25"/>
      <c r="R29" s="25"/>
      <c r="S29" s="26">
        <v>1</v>
      </c>
      <c r="T29" s="26">
        <v>1</v>
      </c>
      <c r="U29" s="26">
        <v>1</v>
      </c>
      <c r="V29" s="25"/>
      <c r="W29" s="25"/>
      <c r="X29" s="25"/>
      <c r="Y29" s="25"/>
      <c r="Z29" s="26">
        <v>1</v>
      </c>
      <c r="AA29" s="25"/>
      <c r="AB29" s="25"/>
      <c r="AC29" s="25"/>
      <c r="AD29" s="26">
        <v>1</v>
      </c>
      <c r="AE29" s="25"/>
      <c r="AF29" s="25"/>
      <c r="AG29" s="25"/>
      <c r="AH29" s="25"/>
      <c r="AI29" s="26">
        <v>1</v>
      </c>
      <c r="AJ29" s="26">
        <v>1</v>
      </c>
      <c r="AK29" s="26">
        <v>1</v>
      </c>
      <c r="AL29" s="25"/>
      <c r="AM29" s="25"/>
      <c r="AN29" s="25"/>
      <c r="AO29" s="25"/>
      <c r="AP29" s="25"/>
      <c r="AQ29" s="25"/>
      <c r="AR29" s="26">
        <v>1</v>
      </c>
      <c r="AS29" s="25"/>
      <c r="AT29" s="25"/>
      <c r="AU29" s="25"/>
      <c r="AV29" s="25"/>
      <c r="AW29" s="25"/>
      <c r="AX29" s="25"/>
      <c r="AY29" s="26">
        <v>1</v>
      </c>
      <c r="AZ29" s="26">
        <v>1</v>
      </c>
      <c r="BA29" s="26">
        <v>1</v>
      </c>
      <c r="BB29" s="25"/>
    </row>
    <row r="30" spans="2:54" x14ac:dyDescent="0.2">
      <c r="B30" s="27"/>
      <c r="C30" s="27"/>
      <c r="D30" s="27"/>
      <c r="E30" s="27"/>
      <c r="F30" s="27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2:54" x14ac:dyDescent="0.2">
      <c r="B31" s="27"/>
      <c r="C31" s="27"/>
      <c r="D31" s="27"/>
      <c r="E31" s="27"/>
      <c r="F31" s="27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2:54" x14ac:dyDescent="0.2">
      <c r="B32" s="27"/>
      <c r="C32" s="27"/>
      <c r="D32" s="27"/>
      <c r="E32" s="27"/>
      <c r="F32" s="27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2:43" x14ac:dyDescent="0.2">
      <c r="B33" s="26">
        <v>1</v>
      </c>
      <c r="C33" s="25"/>
      <c r="D33" s="25"/>
      <c r="E33" s="25"/>
      <c r="F33" s="26">
        <v>1</v>
      </c>
      <c r="G33" s="25"/>
      <c r="H33" s="25"/>
      <c r="I33" s="25"/>
      <c r="J33" s="26">
        <v>1</v>
      </c>
      <c r="K33" s="25"/>
      <c r="L33" s="25"/>
      <c r="M33" s="25"/>
      <c r="N33" s="26">
        <v>1</v>
      </c>
      <c r="O33" s="25"/>
      <c r="P33" s="25"/>
      <c r="Q33" s="25"/>
      <c r="R33" s="26">
        <v>1</v>
      </c>
      <c r="S33" s="25"/>
      <c r="T33" s="25"/>
      <c r="U33" s="25"/>
      <c r="V33" s="26">
        <v>1</v>
      </c>
      <c r="W33" s="25"/>
      <c r="X33" s="25"/>
      <c r="Y33" s="25"/>
      <c r="Z33" s="26">
        <v>1</v>
      </c>
      <c r="AA33" s="25"/>
      <c r="AB33" s="25"/>
      <c r="AC33" s="25"/>
      <c r="AD33" s="26">
        <v>1</v>
      </c>
      <c r="AE33" s="25"/>
      <c r="AF33" s="25"/>
      <c r="AG33" s="25"/>
      <c r="AH33" s="26">
        <v>1</v>
      </c>
      <c r="AI33" s="26">
        <v>1</v>
      </c>
      <c r="AJ33" s="26">
        <v>1</v>
      </c>
      <c r="AK33" s="26">
        <v>1</v>
      </c>
      <c r="AL33" s="26">
        <v>1</v>
      </c>
    </row>
    <row r="34" spans="2:43" x14ac:dyDescent="0.2">
      <c r="B34" s="26">
        <v>1</v>
      </c>
      <c r="C34" s="25"/>
      <c r="D34" s="25"/>
      <c r="E34" s="25"/>
      <c r="F34" s="26">
        <v>1</v>
      </c>
      <c r="G34" s="25"/>
      <c r="H34" s="25"/>
      <c r="I34" s="25"/>
      <c r="J34" s="26">
        <v>1</v>
      </c>
      <c r="K34" s="25"/>
      <c r="L34" s="25"/>
      <c r="M34" s="25"/>
      <c r="N34" s="26">
        <v>1</v>
      </c>
      <c r="O34" s="25"/>
      <c r="P34" s="25"/>
      <c r="Q34" s="25"/>
      <c r="R34" s="26">
        <v>1</v>
      </c>
      <c r="S34" s="25"/>
      <c r="T34" s="25"/>
      <c r="U34" s="25"/>
      <c r="V34" s="26">
        <v>1</v>
      </c>
      <c r="W34" s="25"/>
      <c r="X34" s="25"/>
      <c r="Y34" s="25"/>
      <c r="Z34" s="26">
        <v>1</v>
      </c>
      <c r="AA34" s="25"/>
      <c r="AB34" s="25"/>
      <c r="AC34" s="25"/>
      <c r="AD34" s="26">
        <v>1</v>
      </c>
      <c r="AE34" s="25"/>
      <c r="AF34" s="25"/>
      <c r="AG34" s="25"/>
      <c r="AH34" s="25"/>
      <c r="AI34" s="25"/>
      <c r="AJ34" s="25"/>
      <c r="AK34" s="25"/>
      <c r="AL34" s="26">
        <v>1</v>
      </c>
    </row>
    <row r="35" spans="2:43" x14ac:dyDescent="0.2">
      <c r="B35" s="26">
        <v>1</v>
      </c>
      <c r="C35" s="25"/>
      <c r="D35" s="25"/>
      <c r="E35" s="25"/>
      <c r="F35" s="26">
        <v>1</v>
      </c>
      <c r="G35" s="25"/>
      <c r="H35" s="25"/>
      <c r="I35" s="25"/>
      <c r="J35" s="26">
        <v>1</v>
      </c>
      <c r="K35" s="25"/>
      <c r="L35" s="25"/>
      <c r="M35" s="25"/>
      <c r="N35" s="26">
        <v>1</v>
      </c>
      <c r="O35" s="25"/>
      <c r="P35" s="25"/>
      <c r="Q35" s="25"/>
      <c r="R35" s="25"/>
      <c r="S35" s="26">
        <v>1</v>
      </c>
      <c r="T35" s="25"/>
      <c r="U35" s="26">
        <v>1</v>
      </c>
      <c r="V35" s="25"/>
      <c r="W35" s="25"/>
      <c r="X35" s="25"/>
      <c r="Y35" s="25"/>
      <c r="Z35" s="25"/>
      <c r="AA35" s="26">
        <v>1</v>
      </c>
      <c r="AB35" s="25"/>
      <c r="AC35" s="26">
        <v>1</v>
      </c>
      <c r="AD35" s="25"/>
      <c r="AE35" s="25"/>
      <c r="AF35" s="25"/>
      <c r="AG35" s="25"/>
      <c r="AH35" s="25"/>
      <c r="AI35" s="25"/>
      <c r="AJ35" s="25"/>
      <c r="AK35" s="26">
        <v>1</v>
      </c>
      <c r="AL35" s="25"/>
    </row>
    <row r="36" spans="2:43" x14ac:dyDescent="0.2">
      <c r="B36" s="26">
        <v>1</v>
      </c>
      <c r="C36" s="25"/>
      <c r="D36" s="25"/>
      <c r="E36" s="25"/>
      <c r="F36" s="26">
        <v>1</v>
      </c>
      <c r="G36" s="25"/>
      <c r="H36" s="25"/>
      <c r="I36" s="25"/>
      <c r="J36" s="26">
        <v>1</v>
      </c>
      <c r="K36" s="25"/>
      <c r="L36" s="25"/>
      <c r="M36" s="25"/>
      <c r="N36" s="26">
        <v>1</v>
      </c>
      <c r="O36" s="25"/>
      <c r="P36" s="25"/>
      <c r="Q36" s="25"/>
      <c r="R36" s="25"/>
      <c r="S36" s="25"/>
      <c r="T36" s="26">
        <v>1</v>
      </c>
      <c r="U36" s="25"/>
      <c r="V36" s="25"/>
      <c r="W36" s="25"/>
      <c r="X36" s="25"/>
      <c r="Y36" s="25"/>
      <c r="Z36" s="25"/>
      <c r="AA36" s="25"/>
      <c r="AB36" s="26">
        <v>1</v>
      </c>
      <c r="AC36" s="25"/>
      <c r="AD36" s="25"/>
      <c r="AE36" s="25"/>
      <c r="AF36" s="25"/>
      <c r="AG36" s="25"/>
      <c r="AH36" s="25"/>
      <c r="AI36" s="25"/>
      <c r="AJ36" s="26">
        <v>1</v>
      </c>
      <c r="AK36" s="25"/>
      <c r="AL36" s="25"/>
    </row>
    <row r="37" spans="2:43" x14ac:dyDescent="0.2">
      <c r="B37" s="26">
        <v>1</v>
      </c>
      <c r="C37" s="25"/>
      <c r="D37" s="25"/>
      <c r="E37" s="25"/>
      <c r="F37" s="26">
        <v>1</v>
      </c>
      <c r="G37" s="25"/>
      <c r="H37" s="25"/>
      <c r="I37" s="25"/>
      <c r="J37" s="26">
        <v>1</v>
      </c>
      <c r="K37" s="25"/>
      <c r="L37" s="26">
        <v>1</v>
      </c>
      <c r="M37" s="25"/>
      <c r="N37" s="26">
        <v>1</v>
      </c>
      <c r="O37" s="25"/>
      <c r="P37" s="25"/>
      <c r="Q37" s="25"/>
      <c r="R37" s="25"/>
      <c r="S37" s="26">
        <v>1</v>
      </c>
      <c r="T37" s="25"/>
      <c r="U37" s="26">
        <v>1</v>
      </c>
      <c r="V37" s="25"/>
      <c r="W37" s="25"/>
      <c r="X37" s="25"/>
      <c r="Y37" s="25"/>
      <c r="Z37" s="25"/>
      <c r="AA37" s="25"/>
      <c r="AB37" s="26">
        <v>1</v>
      </c>
      <c r="AC37" s="25"/>
      <c r="AD37" s="25"/>
      <c r="AE37" s="25"/>
      <c r="AF37" s="25"/>
      <c r="AG37" s="25"/>
      <c r="AH37" s="25"/>
      <c r="AI37" s="26">
        <v>1</v>
      </c>
      <c r="AJ37" s="25"/>
      <c r="AK37" s="25"/>
      <c r="AL37" s="25"/>
    </row>
    <row r="38" spans="2:43" x14ac:dyDescent="0.2">
      <c r="B38" s="25"/>
      <c r="C38" s="26">
        <v>1</v>
      </c>
      <c r="D38" s="25"/>
      <c r="E38" s="26">
        <v>1</v>
      </c>
      <c r="F38" s="25"/>
      <c r="G38" s="25"/>
      <c r="H38" s="25"/>
      <c r="I38" s="25"/>
      <c r="J38" s="26">
        <v>1</v>
      </c>
      <c r="K38" s="25"/>
      <c r="L38" s="26">
        <v>1</v>
      </c>
      <c r="M38" s="25"/>
      <c r="N38" s="26">
        <v>1</v>
      </c>
      <c r="O38" s="25"/>
      <c r="P38" s="25"/>
      <c r="Q38" s="25"/>
      <c r="R38" s="26">
        <v>1</v>
      </c>
      <c r="S38" s="25"/>
      <c r="T38" s="25"/>
      <c r="U38" s="25"/>
      <c r="V38" s="26">
        <v>1</v>
      </c>
      <c r="W38" s="25"/>
      <c r="X38" s="25"/>
      <c r="Y38" s="25"/>
      <c r="Z38" s="25"/>
      <c r="AA38" s="25"/>
      <c r="AB38" s="26">
        <v>1</v>
      </c>
      <c r="AC38" s="25"/>
      <c r="AD38" s="25"/>
      <c r="AE38" s="25"/>
      <c r="AF38" s="25"/>
      <c r="AG38" s="25"/>
      <c r="AH38" s="26">
        <v>1</v>
      </c>
      <c r="AI38" s="25"/>
      <c r="AJ38" s="25"/>
      <c r="AK38" s="25"/>
      <c r="AL38" s="25"/>
    </row>
    <row r="39" spans="2:43" x14ac:dyDescent="0.2">
      <c r="B39" s="25"/>
      <c r="C39" s="25"/>
      <c r="D39" s="26">
        <v>1</v>
      </c>
      <c r="E39" s="25"/>
      <c r="F39" s="25"/>
      <c r="G39" s="25"/>
      <c r="H39" s="25"/>
      <c r="I39" s="25"/>
      <c r="J39" s="25"/>
      <c r="K39" s="26">
        <v>1</v>
      </c>
      <c r="L39" s="25"/>
      <c r="M39" s="26">
        <v>1</v>
      </c>
      <c r="N39" s="25"/>
      <c r="O39" s="25"/>
      <c r="P39" s="25"/>
      <c r="Q39" s="25"/>
      <c r="R39" s="26">
        <v>1</v>
      </c>
      <c r="S39" s="25"/>
      <c r="T39" s="25"/>
      <c r="U39" s="25"/>
      <c r="V39" s="26">
        <v>1</v>
      </c>
      <c r="W39" s="25"/>
      <c r="X39" s="25"/>
      <c r="Y39" s="25"/>
      <c r="Z39" s="25"/>
      <c r="AA39" s="25"/>
      <c r="AB39" s="26">
        <v>1</v>
      </c>
      <c r="AC39" s="25"/>
      <c r="AD39" s="25"/>
      <c r="AE39" s="25"/>
      <c r="AF39" s="25"/>
      <c r="AG39" s="25"/>
      <c r="AH39" s="26">
        <v>1</v>
      </c>
      <c r="AI39" s="26">
        <v>1</v>
      </c>
      <c r="AJ39" s="26">
        <v>1</v>
      </c>
      <c r="AK39" s="26">
        <v>1</v>
      </c>
      <c r="AL39" s="26">
        <v>1</v>
      </c>
      <c r="AQ39" t="s">
        <v>130</v>
      </c>
    </row>
  </sheetData>
  <phoneticPr fontId="1"/>
  <pageMargins left="0.7" right="0.7" top="0.75" bottom="0.75" header="0.3" footer="0.3"/>
  <pageSetup paperSize="9" orientation="landscape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AP58"/>
  <sheetViews>
    <sheetView topLeftCell="A22" workbookViewId="0">
      <selection activeCell="M1" sqref="M1"/>
    </sheetView>
  </sheetViews>
  <sheetFormatPr defaultColWidth="9" defaultRowHeight="13.2" x14ac:dyDescent="0.2"/>
  <cols>
    <col min="1" max="36" width="2.33203125" style="25" customWidth="1"/>
    <col min="37" max="37" width="3.77734375" style="62" customWidth="1"/>
    <col min="38" max="42" width="2.33203125" style="25" customWidth="1"/>
    <col min="43" max="16384" width="9" style="25"/>
  </cols>
  <sheetData>
    <row r="1" spans="1:42" x14ac:dyDescent="0.2">
      <c r="A1" s="25" t="s">
        <v>85</v>
      </c>
      <c r="M1" s="25" t="s">
        <v>129</v>
      </c>
    </row>
    <row r="3" spans="1:42" x14ac:dyDescent="0.2">
      <c r="A3" s="25" t="s">
        <v>26</v>
      </c>
      <c r="AK3" s="65" t="s">
        <v>70</v>
      </c>
      <c r="AL3" s="25" t="s">
        <v>34</v>
      </c>
    </row>
    <row r="4" spans="1:42" x14ac:dyDescent="0.2">
      <c r="A4" s="51" t="s">
        <v>86</v>
      </c>
      <c r="B4" s="52">
        <v>0</v>
      </c>
      <c r="C4" s="53">
        <v>0</v>
      </c>
      <c r="D4" s="53">
        <v>1</v>
      </c>
      <c r="E4" s="53">
        <v>0</v>
      </c>
      <c r="F4" s="54">
        <v>0</v>
      </c>
      <c r="G4" s="52">
        <v>0</v>
      </c>
      <c r="H4" s="53">
        <v>1</v>
      </c>
      <c r="I4" s="53">
        <v>0</v>
      </c>
      <c r="J4" s="53">
        <v>1</v>
      </c>
      <c r="K4" s="54">
        <v>0</v>
      </c>
      <c r="L4" s="52">
        <v>1</v>
      </c>
      <c r="M4" s="53">
        <v>0</v>
      </c>
      <c r="N4" s="53">
        <v>0</v>
      </c>
      <c r="O4" s="53">
        <v>0</v>
      </c>
      <c r="P4" s="54">
        <v>1</v>
      </c>
      <c r="Q4" s="52">
        <v>1</v>
      </c>
      <c r="R4" s="53">
        <v>0</v>
      </c>
      <c r="S4" s="53">
        <v>0</v>
      </c>
      <c r="T4" s="53">
        <v>0</v>
      </c>
      <c r="U4" s="54">
        <v>1</v>
      </c>
      <c r="V4" s="52">
        <v>1</v>
      </c>
      <c r="W4" s="53">
        <v>1</v>
      </c>
      <c r="X4" s="53">
        <v>1</v>
      </c>
      <c r="Y4" s="53">
        <v>1</v>
      </c>
      <c r="Z4" s="54">
        <v>1</v>
      </c>
      <c r="AA4" s="52">
        <v>1</v>
      </c>
      <c r="AB4" s="53">
        <v>0</v>
      </c>
      <c r="AC4" s="53">
        <v>0</v>
      </c>
      <c r="AD4" s="53">
        <v>0</v>
      </c>
      <c r="AE4" s="54">
        <v>1</v>
      </c>
      <c r="AF4" s="52">
        <v>1</v>
      </c>
      <c r="AG4" s="53">
        <v>0</v>
      </c>
      <c r="AH4" s="53">
        <v>0</v>
      </c>
      <c r="AI4" s="53">
        <v>0</v>
      </c>
      <c r="AJ4" s="54">
        <v>1</v>
      </c>
      <c r="AK4" s="63">
        <v>1</v>
      </c>
      <c r="AL4" s="6">
        <v>0</v>
      </c>
      <c r="AM4" s="7">
        <v>0</v>
      </c>
      <c r="AN4" s="7">
        <v>0</v>
      </c>
      <c r="AO4" s="7">
        <v>0</v>
      </c>
      <c r="AP4" s="8">
        <v>1</v>
      </c>
    </row>
    <row r="5" spans="1:42" x14ac:dyDescent="0.2">
      <c r="A5" s="21" t="s">
        <v>87</v>
      </c>
      <c r="B5" s="22">
        <v>1</v>
      </c>
      <c r="C5" s="23">
        <v>1</v>
      </c>
      <c r="D5" s="23">
        <v>1</v>
      </c>
      <c r="E5" s="23">
        <v>1</v>
      </c>
      <c r="F5" s="24">
        <v>0</v>
      </c>
      <c r="G5" s="22">
        <v>1</v>
      </c>
      <c r="H5" s="23">
        <v>0</v>
      </c>
      <c r="I5" s="23">
        <v>0</v>
      </c>
      <c r="J5" s="23">
        <v>0</v>
      </c>
      <c r="K5" s="24">
        <v>1</v>
      </c>
      <c r="L5" s="22">
        <v>1</v>
      </c>
      <c r="M5" s="23">
        <v>0</v>
      </c>
      <c r="N5" s="23">
        <v>0</v>
      </c>
      <c r="O5" s="23">
        <v>0</v>
      </c>
      <c r="P5" s="24">
        <v>1</v>
      </c>
      <c r="Q5" s="22">
        <v>1</v>
      </c>
      <c r="R5" s="23">
        <v>1</v>
      </c>
      <c r="S5" s="23">
        <v>1</v>
      </c>
      <c r="T5" s="23">
        <v>1</v>
      </c>
      <c r="U5" s="24">
        <v>0</v>
      </c>
      <c r="V5" s="22">
        <v>1</v>
      </c>
      <c r="W5" s="23">
        <v>0</v>
      </c>
      <c r="X5" s="23">
        <v>0</v>
      </c>
      <c r="Y5" s="23">
        <v>0</v>
      </c>
      <c r="Z5" s="24">
        <v>1</v>
      </c>
      <c r="AA5" s="22">
        <v>1</v>
      </c>
      <c r="AB5" s="23">
        <v>0</v>
      </c>
      <c r="AC5" s="23">
        <v>0</v>
      </c>
      <c r="AD5" s="23">
        <v>0</v>
      </c>
      <c r="AE5" s="24">
        <v>1</v>
      </c>
      <c r="AF5" s="22">
        <v>1</v>
      </c>
      <c r="AG5" s="23">
        <v>1</v>
      </c>
      <c r="AH5" s="23">
        <v>1</v>
      </c>
      <c r="AI5" s="23">
        <v>1</v>
      </c>
      <c r="AJ5" s="24">
        <v>0</v>
      </c>
      <c r="AK5" s="63">
        <v>21</v>
      </c>
      <c r="AL5" s="6">
        <v>1</v>
      </c>
      <c r="AM5" s="7">
        <v>0</v>
      </c>
      <c r="AN5" s="7">
        <v>1</v>
      </c>
      <c r="AO5" s="7">
        <v>0</v>
      </c>
      <c r="AP5" s="4">
        <v>1</v>
      </c>
    </row>
    <row r="6" spans="1:42" x14ac:dyDescent="0.2">
      <c r="A6" s="51" t="s">
        <v>88</v>
      </c>
      <c r="B6" s="52">
        <v>0</v>
      </c>
      <c r="C6" s="53">
        <v>1</v>
      </c>
      <c r="D6" s="53">
        <v>1</v>
      </c>
      <c r="E6" s="53">
        <v>1</v>
      </c>
      <c r="F6" s="54">
        <v>0</v>
      </c>
      <c r="G6" s="52">
        <v>1</v>
      </c>
      <c r="H6" s="53">
        <v>0</v>
      </c>
      <c r="I6" s="53">
        <v>0</v>
      </c>
      <c r="J6" s="53">
        <v>0</v>
      </c>
      <c r="K6" s="54">
        <v>1</v>
      </c>
      <c r="L6" s="52">
        <v>1</v>
      </c>
      <c r="M6" s="53">
        <v>0</v>
      </c>
      <c r="N6" s="53">
        <v>0</v>
      </c>
      <c r="O6" s="53">
        <v>0</v>
      </c>
      <c r="P6" s="54">
        <v>0</v>
      </c>
      <c r="Q6" s="52">
        <v>1</v>
      </c>
      <c r="R6" s="53">
        <v>0</v>
      </c>
      <c r="S6" s="53">
        <v>0</v>
      </c>
      <c r="T6" s="53">
        <v>0</v>
      </c>
      <c r="U6" s="54">
        <v>0</v>
      </c>
      <c r="V6" s="52">
        <v>1</v>
      </c>
      <c r="W6" s="53">
        <v>0</v>
      </c>
      <c r="X6" s="53">
        <v>0</v>
      </c>
      <c r="Y6" s="53">
        <v>0</v>
      </c>
      <c r="Z6" s="54">
        <v>0</v>
      </c>
      <c r="AA6" s="52">
        <v>1</v>
      </c>
      <c r="AB6" s="53">
        <v>0</v>
      </c>
      <c r="AC6" s="53">
        <v>0</v>
      </c>
      <c r="AD6" s="53">
        <v>0</v>
      </c>
      <c r="AE6" s="54">
        <v>1</v>
      </c>
      <c r="AF6" s="52">
        <v>0</v>
      </c>
      <c r="AG6" s="53">
        <v>1</v>
      </c>
      <c r="AH6" s="53">
        <v>1</v>
      </c>
      <c r="AI6" s="53">
        <v>1</v>
      </c>
      <c r="AJ6" s="54">
        <v>0</v>
      </c>
      <c r="AK6" s="63">
        <v>5</v>
      </c>
      <c r="AL6" s="6">
        <v>0</v>
      </c>
      <c r="AM6" s="7">
        <v>0</v>
      </c>
      <c r="AN6" s="7">
        <v>1</v>
      </c>
      <c r="AO6" s="7">
        <v>0</v>
      </c>
      <c r="AP6" s="4">
        <v>1</v>
      </c>
    </row>
    <row r="7" spans="1:42" x14ac:dyDescent="0.2">
      <c r="A7" s="21" t="s">
        <v>89</v>
      </c>
      <c r="B7" s="22">
        <v>1</v>
      </c>
      <c r="C7" s="23">
        <v>1</v>
      </c>
      <c r="D7" s="23">
        <v>1</v>
      </c>
      <c r="E7" s="23">
        <v>1</v>
      </c>
      <c r="F7" s="24">
        <v>0</v>
      </c>
      <c r="G7" s="22">
        <v>1</v>
      </c>
      <c r="H7" s="23">
        <v>0</v>
      </c>
      <c r="I7" s="23">
        <v>0</v>
      </c>
      <c r="J7" s="23">
        <v>0</v>
      </c>
      <c r="K7" s="24">
        <v>1</v>
      </c>
      <c r="L7" s="22">
        <v>1</v>
      </c>
      <c r="M7" s="23">
        <v>0</v>
      </c>
      <c r="N7" s="23">
        <v>0</v>
      </c>
      <c r="O7" s="23">
        <v>0</v>
      </c>
      <c r="P7" s="24">
        <v>1</v>
      </c>
      <c r="Q7" s="22">
        <v>1</v>
      </c>
      <c r="R7" s="23">
        <v>0</v>
      </c>
      <c r="S7" s="23">
        <v>0</v>
      </c>
      <c r="T7" s="23">
        <v>0</v>
      </c>
      <c r="U7" s="24">
        <v>1</v>
      </c>
      <c r="V7" s="22">
        <v>1</v>
      </c>
      <c r="W7" s="23">
        <v>0</v>
      </c>
      <c r="X7" s="23">
        <v>0</v>
      </c>
      <c r="Y7" s="23">
        <v>0</v>
      </c>
      <c r="Z7" s="24">
        <v>1</v>
      </c>
      <c r="AA7" s="22">
        <v>1</v>
      </c>
      <c r="AB7" s="23">
        <v>0</v>
      </c>
      <c r="AC7" s="23">
        <v>0</v>
      </c>
      <c r="AD7" s="23">
        <v>0</v>
      </c>
      <c r="AE7" s="24">
        <v>1</v>
      </c>
      <c r="AF7" s="22">
        <v>1</v>
      </c>
      <c r="AG7" s="23">
        <v>1</v>
      </c>
      <c r="AH7" s="23">
        <v>1</v>
      </c>
      <c r="AI7" s="23">
        <v>1</v>
      </c>
      <c r="AJ7" s="24">
        <v>0</v>
      </c>
      <c r="AK7" s="63">
        <v>19</v>
      </c>
      <c r="AL7" s="6">
        <v>1</v>
      </c>
      <c r="AM7" s="7">
        <v>0</v>
      </c>
      <c r="AN7" s="7">
        <v>0</v>
      </c>
      <c r="AO7" s="7">
        <v>1</v>
      </c>
      <c r="AP7" s="8">
        <v>1</v>
      </c>
    </row>
    <row r="8" spans="1:42" x14ac:dyDescent="0.2">
      <c r="A8" s="1" t="s">
        <v>90</v>
      </c>
      <c r="B8" s="2">
        <v>1</v>
      </c>
      <c r="C8" s="3">
        <v>1</v>
      </c>
      <c r="D8" s="3">
        <v>1</v>
      </c>
      <c r="E8" s="3">
        <v>1</v>
      </c>
      <c r="F8" s="4">
        <v>1</v>
      </c>
      <c r="G8" s="2">
        <v>1</v>
      </c>
      <c r="H8" s="3">
        <v>0</v>
      </c>
      <c r="I8" s="3">
        <v>0</v>
      </c>
      <c r="J8" s="3">
        <v>0</v>
      </c>
      <c r="K8" s="4">
        <v>0</v>
      </c>
      <c r="L8" s="2">
        <v>1</v>
      </c>
      <c r="M8" s="3">
        <v>0</v>
      </c>
      <c r="N8" s="3">
        <v>0</v>
      </c>
      <c r="O8" s="3">
        <v>0</v>
      </c>
      <c r="P8" s="4">
        <v>0</v>
      </c>
      <c r="Q8" s="2">
        <v>1</v>
      </c>
      <c r="R8" s="3">
        <v>1</v>
      </c>
      <c r="S8" s="3">
        <v>1</v>
      </c>
      <c r="T8" s="3">
        <v>1</v>
      </c>
      <c r="U8" s="4">
        <v>0</v>
      </c>
      <c r="V8" s="2">
        <v>1</v>
      </c>
      <c r="W8" s="3">
        <v>0</v>
      </c>
      <c r="X8" s="3">
        <v>0</v>
      </c>
      <c r="Y8" s="3">
        <v>0</v>
      </c>
      <c r="Z8" s="4">
        <v>0</v>
      </c>
      <c r="AA8" s="2">
        <v>1</v>
      </c>
      <c r="AB8" s="3">
        <v>0</v>
      </c>
      <c r="AC8" s="3">
        <v>0</v>
      </c>
      <c r="AD8" s="3">
        <v>0</v>
      </c>
      <c r="AE8" s="4">
        <v>0</v>
      </c>
      <c r="AF8" s="2">
        <v>1</v>
      </c>
      <c r="AG8" s="3">
        <v>1</v>
      </c>
      <c r="AH8" s="3">
        <v>1</v>
      </c>
      <c r="AI8" s="3">
        <v>1</v>
      </c>
      <c r="AJ8" s="4">
        <v>1</v>
      </c>
      <c r="AK8" s="63">
        <v>26</v>
      </c>
      <c r="AL8" s="6">
        <v>1</v>
      </c>
      <c r="AM8" s="7">
        <v>1</v>
      </c>
      <c r="AN8" s="7">
        <v>0</v>
      </c>
      <c r="AO8" s="7">
        <v>1</v>
      </c>
      <c r="AP8" s="8">
        <v>0</v>
      </c>
    </row>
    <row r="9" spans="1:42" x14ac:dyDescent="0.2">
      <c r="A9" s="1" t="s">
        <v>91</v>
      </c>
      <c r="B9" s="2">
        <v>1</v>
      </c>
      <c r="C9" s="3">
        <v>1</v>
      </c>
      <c r="D9" s="3">
        <v>1</v>
      </c>
      <c r="E9" s="3">
        <v>1</v>
      </c>
      <c r="F9" s="4">
        <v>1</v>
      </c>
      <c r="G9" s="2">
        <v>1</v>
      </c>
      <c r="H9" s="3">
        <v>0</v>
      </c>
      <c r="I9" s="3">
        <v>0</v>
      </c>
      <c r="J9" s="3">
        <v>0</v>
      </c>
      <c r="K9" s="4">
        <v>0</v>
      </c>
      <c r="L9" s="2">
        <v>1</v>
      </c>
      <c r="M9" s="3">
        <v>0</v>
      </c>
      <c r="N9" s="3">
        <v>0</v>
      </c>
      <c r="O9" s="3">
        <v>0</v>
      </c>
      <c r="P9" s="4">
        <v>0</v>
      </c>
      <c r="Q9" s="2">
        <v>1</v>
      </c>
      <c r="R9" s="3">
        <v>1</v>
      </c>
      <c r="S9" s="3">
        <v>1</v>
      </c>
      <c r="T9" s="3">
        <v>1</v>
      </c>
      <c r="U9" s="4">
        <v>0</v>
      </c>
      <c r="V9" s="2">
        <v>1</v>
      </c>
      <c r="W9" s="3">
        <v>0</v>
      </c>
      <c r="X9" s="3">
        <v>0</v>
      </c>
      <c r="Y9" s="3">
        <v>0</v>
      </c>
      <c r="Z9" s="4">
        <v>0</v>
      </c>
      <c r="AA9" s="2">
        <v>1</v>
      </c>
      <c r="AB9" s="3">
        <v>0</v>
      </c>
      <c r="AC9" s="3">
        <v>0</v>
      </c>
      <c r="AD9" s="3">
        <v>0</v>
      </c>
      <c r="AE9" s="4">
        <v>0</v>
      </c>
      <c r="AF9" s="2">
        <v>1</v>
      </c>
      <c r="AG9" s="3">
        <v>0</v>
      </c>
      <c r="AH9" s="3">
        <v>0</v>
      </c>
      <c r="AI9" s="3">
        <v>0</v>
      </c>
      <c r="AJ9" s="4">
        <v>0</v>
      </c>
      <c r="AK9" s="63">
        <v>25</v>
      </c>
      <c r="AL9" s="6">
        <v>1</v>
      </c>
      <c r="AM9" s="7">
        <v>1</v>
      </c>
      <c r="AN9" s="7">
        <v>0</v>
      </c>
      <c r="AO9" s="7">
        <v>0</v>
      </c>
      <c r="AP9" s="8">
        <v>1</v>
      </c>
    </row>
    <row r="10" spans="1:42" x14ac:dyDescent="0.2">
      <c r="A10" s="51" t="s">
        <v>92</v>
      </c>
      <c r="B10" s="52">
        <v>0</v>
      </c>
      <c r="C10" s="53">
        <v>1</v>
      </c>
      <c r="D10" s="53">
        <v>1</v>
      </c>
      <c r="E10" s="53">
        <v>1</v>
      </c>
      <c r="F10" s="54">
        <v>0</v>
      </c>
      <c r="G10" s="52">
        <v>1</v>
      </c>
      <c r="H10" s="53">
        <v>0</v>
      </c>
      <c r="I10" s="53">
        <v>0</v>
      </c>
      <c r="J10" s="53">
        <v>0</v>
      </c>
      <c r="K10" s="54">
        <v>1</v>
      </c>
      <c r="L10" s="52">
        <v>1</v>
      </c>
      <c r="M10" s="53">
        <v>0</v>
      </c>
      <c r="N10" s="53">
        <v>0</v>
      </c>
      <c r="O10" s="53">
        <v>0</v>
      </c>
      <c r="P10" s="54">
        <v>0</v>
      </c>
      <c r="Q10" s="52">
        <v>1</v>
      </c>
      <c r="R10" s="53">
        <v>0</v>
      </c>
      <c r="S10" s="53">
        <v>0</v>
      </c>
      <c r="T10" s="53">
        <v>0</v>
      </c>
      <c r="U10" s="54">
        <v>0</v>
      </c>
      <c r="V10" s="52">
        <v>1</v>
      </c>
      <c r="W10" s="53">
        <v>0</v>
      </c>
      <c r="X10" s="53">
        <v>0</v>
      </c>
      <c r="Y10" s="53">
        <v>1</v>
      </c>
      <c r="Z10" s="54">
        <v>1</v>
      </c>
      <c r="AA10" s="52">
        <v>1</v>
      </c>
      <c r="AB10" s="53">
        <v>0</v>
      </c>
      <c r="AC10" s="53">
        <v>0</v>
      </c>
      <c r="AD10" s="53">
        <v>0</v>
      </c>
      <c r="AE10" s="54">
        <v>1</v>
      </c>
      <c r="AF10" s="52">
        <v>0</v>
      </c>
      <c r="AG10" s="53">
        <v>1</v>
      </c>
      <c r="AH10" s="53">
        <v>1</v>
      </c>
      <c r="AI10" s="53">
        <v>1</v>
      </c>
      <c r="AJ10" s="54">
        <v>0</v>
      </c>
      <c r="AK10" s="63">
        <v>6</v>
      </c>
      <c r="AL10" s="6">
        <v>0</v>
      </c>
      <c r="AM10" s="7">
        <v>0</v>
      </c>
      <c r="AN10" s="7">
        <v>1</v>
      </c>
      <c r="AO10" s="7">
        <v>1</v>
      </c>
      <c r="AP10" s="8">
        <v>0</v>
      </c>
    </row>
    <row r="11" spans="1:42" x14ac:dyDescent="0.2">
      <c r="A11" s="13" t="s">
        <v>93</v>
      </c>
      <c r="B11" s="14">
        <v>1</v>
      </c>
      <c r="C11" s="15">
        <v>0</v>
      </c>
      <c r="D11" s="15">
        <v>0</v>
      </c>
      <c r="E11" s="15">
        <v>0</v>
      </c>
      <c r="F11" s="16">
        <v>1</v>
      </c>
      <c r="G11" s="14">
        <v>1</v>
      </c>
      <c r="H11" s="15">
        <v>0</v>
      </c>
      <c r="I11" s="15">
        <v>0</v>
      </c>
      <c r="J11" s="15">
        <v>0</v>
      </c>
      <c r="K11" s="16">
        <v>1</v>
      </c>
      <c r="L11" s="14">
        <v>1</v>
      </c>
      <c r="M11" s="15">
        <v>0</v>
      </c>
      <c r="N11" s="15">
        <v>0</v>
      </c>
      <c r="O11" s="15">
        <v>0</v>
      </c>
      <c r="P11" s="16">
        <v>1</v>
      </c>
      <c r="Q11" s="14">
        <v>1</v>
      </c>
      <c r="R11" s="15">
        <v>1</v>
      </c>
      <c r="S11" s="15">
        <v>1</v>
      </c>
      <c r="T11" s="15">
        <v>1</v>
      </c>
      <c r="U11" s="16">
        <v>1</v>
      </c>
      <c r="V11" s="14">
        <v>1</v>
      </c>
      <c r="W11" s="15">
        <v>0</v>
      </c>
      <c r="X11" s="15">
        <v>0</v>
      </c>
      <c r="Y11" s="15">
        <v>0</v>
      </c>
      <c r="Z11" s="16">
        <v>1</v>
      </c>
      <c r="AA11" s="14">
        <v>1</v>
      </c>
      <c r="AB11" s="15">
        <v>0</v>
      </c>
      <c r="AC11" s="15">
        <v>0</v>
      </c>
      <c r="AD11" s="15">
        <v>0</v>
      </c>
      <c r="AE11" s="16">
        <v>1</v>
      </c>
      <c r="AF11" s="14">
        <v>1</v>
      </c>
      <c r="AG11" s="15">
        <v>0</v>
      </c>
      <c r="AH11" s="15">
        <v>0</v>
      </c>
      <c r="AI11" s="15">
        <v>0</v>
      </c>
      <c r="AJ11" s="16">
        <v>1</v>
      </c>
      <c r="AK11" s="63">
        <v>15</v>
      </c>
      <c r="AL11" s="6">
        <v>0</v>
      </c>
      <c r="AM11" s="7">
        <v>1</v>
      </c>
      <c r="AN11" s="7">
        <v>1</v>
      </c>
      <c r="AO11" s="7">
        <v>1</v>
      </c>
      <c r="AP11" s="8">
        <v>1</v>
      </c>
    </row>
    <row r="12" spans="1:42" x14ac:dyDescent="0.2">
      <c r="A12" s="51" t="s">
        <v>94</v>
      </c>
      <c r="B12" s="52">
        <v>0</v>
      </c>
      <c r="C12" s="53">
        <v>1</v>
      </c>
      <c r="D12" s="53">
        <v>1</v>
      </c>
      <c r="E12" s="53">
        <v>1</v>
      </c>
      <c r="F12" s="54">
        <v>0</v>
      </c>
      <c r="G12" s="52">
        <v>0</v>
      </c>
      <c r="H12" s="53">
        <v>0</v>
      </c>
      <c r="I12" s="53">
        <v>1</v>
      </c>
      <c r="J12" s="53">
        <v>0</v>
      </c>
      <c r="K12" s="54">
        <v>0</v>
      </c>
      <c r="L12" s="52">
        <v>0</v>
      </c>
      <c r="M12" s="53">
        <v>0</v>
      </c>
      <c r="N12" s="53">
        <v>1</v>
      </c>
      <c r="O12" s="53">
        <v>0</v>
      </c>
      <c r="P12" s="54">
        <v>0</v>
      </c>
      <c r="Q12" s="52">
        <v>0</v>
      </c>
      <c r="R12" s="53">
        <v>0</v>
      </c>
      <c r="S12" s="53">
        <v>1</v>
      </c>
      <c r="T12" s="53">
        <v>0</v>
      </c>
      <c r="U12" s="54">
        <v>0</v>
      </c>
      <c r="V12" s="52">
        <v>0</v>
      </c>
      <c r="W12" s="53">
        <v>0</v>
      </c>
      <c r="X12" s="53">
        <v>1</v>
      </c>
      <c r="Y12" s="53">
        <v>0</v>
      </c>
      <c r="Z12" s="54">
        <v>0</v>
      </c>
      <c r="AA12" s="52">
        <v>0</v>
      </c>
      <c r="AB12" s="53">
        <v>0</v>
      </c>
      <c r="AC12" s="53">
        <v>1</v>
      </c>
      <c r="AD12" s="53">
        <v>0</v>
      </c>
      <c r="AE12" s="54">
        <v>0</v>
      </c>
      <c r="AF12" s="52">
        <v>0</v>
      </c>
      <c r="AG12" s="53">
        <v>1</v>
      </c>
      <c r="AH12" s="53">
        <v>1</v>
      </c>
      <c r="AI12" s="53">
        <v>1</v>
      </c>
      <c r="AJ12" s="54">
        <v>0</v>
      </c>
      <c r="AK12" s="63">
        <v>2</v>
      </c>
      <c r="AL12" s="6">
        <v>0</v>
      </c>
      <c r="AM12" s="7">
        <v>0</v>
      </c>
      <c r="AN12" s="7">
        <v>0</v>
      </c>
      <c r="AO12" s="7">
        <v>1</v>
      </c>
      <c r="AP12" s="8">
        <v>0</v>
      </c>
    </row>
    <row r="13" spans="1:42" x14ac:dyDescent="0.2">
      <c r="A13" s="51" t="s">
        <v>95</v>
      </c>
      <c r="B13" s="52">
        <v>0</v>
      </c>
      <c r="C13" s="53">
        <v>1</v>
      </c>
      <c r="D13" s="53">
        <v>1</v>
      </c>
      <c r="E13" s="53">
        <v>1</v>
      </c>
      <c r="F13" s="54">
        <v>0</v>
      </c>
      <c r="G13" s="52">
        <v>0</v>
      </c>
      <c r="H13" s="53">
        <v>0</v>
      </c>
      <c r="I13" s="53">
        <v>1</v>
      </c>
      <c r="J13" s="53">
        <v>0</v>
      </c>
      <c r="K13" s="54">
        <v>0</v>
      </c>
      <c r="L13" s="52">
        <v>0</v>
      </c>
      <c r="M13" s="53">
        <v>0</v>
      </c>
      <c r="N13" s="53">
        <v>1</v>
      </c>
      <c r="O13" s="53">
        <v>0</v>
      </c>
      <c r="P13" s="54">
        <v>0</v>
      </c>
      <c r="Q13" s="52">
        <v>0</v>
      </c>
      <c r="R13" s="53">
        <v>0</v>
      </c>
      <c r="S13" s="53">
        <v>1</v>
      </c>
      <c r="T13" s="53">
        <v>0</v>
      </c>
      <c r="U13" s="54">
        <v>0</v>
      </c>
      <c r="V13" s="52">
        <v>0</v>
      </c>
      <c r="W13" s="53">
        <v>0</v>
      </c>
      <c r="X13" s="53">
        <v>1</v>
      </c>
      <c r="Y13" s="53">
        <v>0</v>
      </c>
      <c r="Z13" s="54">
        <v>0</v>
      </c>
      <c r="AA13" s="52">
        <v>1</v>
      </c>
      <c r="AB13" s="53">
        <v>0</v>
      </c>
      <c r="AC13" s="53">
        <v>1</v>
      </c>
      <c r="AD13" s="53">
        <v>0</v>
      </c>
      <c r="AE13" s="54">
        <v>0</v>
      </c>
      <c r="AF13" s="52">
        <v>0</v>
      </c>
      <c r="AG13" s="53">
        <v>1</v>
      </c>
      <c r="AH13" s="53">
        <v>0</v>
      </c>
      <c r="AI13" s="53">
        <v>0</v>
      </c>
      <c r="AJ13" s="54">
        <v>0</v>
      </c>
      <c r="AK13" s="63">
        <v>3</v>
      </c>
      <c r="AL13" s="6">
        <v>0</v>
      </c>
      <c r="AM13" s="7">
        <v>0</v>
      </c>
      <c r="AN13" s="7">
        <v>0</v>
      </c>
      <c r="AO13" s="7">
        <v>1</v>
      </c>
      <c r="AP13" s="8">
        <v>1</v>
      </c>
    </row>
    <row r="14" spans="1:42" x14ac:dyDescent="0.2">
      <c r="A14" s="13" t="s">
        <v>96</v>
      </c>
      <c r="B14" s="14">
        <v>1</v>
      </c>
      <c r="C14" s="15">
        <v>0</v>
      </c>
      <c r="D14" s="15">
        <v>0</v>
      </c>
      <c r="E14" s="15">
        <v>0</v>
      </c>
      <c r="F14" s="16">
        <v>1</v>
      </c>
      <c r="G14" s="14">
        <v>1</v>
      </c>
      <c r="H14" s="15">
        <v>0</v>
      </c>
      <c r="I14" s="15">
        <v>0</v>
      </c>
      <c r="J14" s="15">
        <v>1</v>
      </c>
      <c r="K14" s="16">
        <v>0</v>
      </c>
      <c r="L14" s="14">
        <v>1</v>
      </c>
      <c r="M14" s="15">
        <v>0</v>
      </c>
      <c r="N14" s="15">
        <v>1</v>
      </c>
      <c r="O14" s="15">
        <v>0</v>
      </c>
      <c r="P14" s="16">
        <v>0</v>
      </c>
      <c r="Q14" s="14">
        <v>1</v>
      </c>
      <c r="R14" s="15">
        <v>1</v>
      </c>
      <c r="S14" s="15">
        <v>0</v>
      </c>
      <c r="T14" s="15">
        <v>0</v>
      </c>
      <c r="U14" s="16">
        <v>0</v>
      </c>
      <c r="V14" s="14">
        <v>1</v>
      </c>
      <c r="W14" s="15">
        <v>0</v>
      </c>
      <c r="X14" s="15">
        <v>1</v>
      </c>
      <c r="Y14" s="15">
        <v>0</v>
      </c>
      <c r="Z14" s="16">
        <v>0</v>
      </c>
      <c r="AA14" s="14">
        <v>1</v>
      </c>
      <c r="AB14" s="15">
        <v>0</v>
      </c>
      <c r="AC14" s="15">
        <v>0</v>
      </c>
      <c r="AD14" s="15">
        <v>1</v>
      </c>
      <c r="AE14" s="16">
        <v>0</v>
      </c>
      <c r="AF14" s="14">
        <v>1</v>
      </c>
      <c r="AG14" s="15">
        <v>0</v>
      </c>
      <c r="AH14" s="15">
        <v>0</v>
      </c>
      <c r="AI14" s="15">
        <v>0</v>
      </c>
      <c r="AJ14" s="16">
        <v>1</v>
      </c>
      <c r="AK14" s="63">
        <v>16</v>
      </c>
      <c r="AL14" s="6">
        <v>1</v>
      </c>
      <c r="AM14" s="7">
        <v>0</v>
      </c>
      <c r="AN14" s="7">
        <v>0</v>
      </c>
      <c r="AO14" s="7">
        <v>0</v>
      </c>
      <c r="AP14" s="8">
        <v>0</v>
      </c>
    </row>
    <row r="15" spans="1:42" x14ac:dyDescent="0.2">
      <c r="A15" s="17" t="s">
        <v>97</v>
      </c>
      <c r="B15" s="18">
        <v>1</v>
      </c>
      <c r="C15" s="19">
        <v>0</v>
      </c>
      <c r="D15" s="19">
        <v>0</v>
      </c>
      <c r="E15" s="19">
        <v>0</v>
      </c>
      <c r="F15" s="20">
        <v>0</v>
      </c>
      <c r="G15" s="18">
        <v>1</v>
      </c>
      <c r="H15" s="19">
        <v>0</v>
      </c>
      <c r="I15" s="19">
        <v>0</v>
      </c>
      <c r="J15" s="19">
        <v>0</v>
      </c>
      <c r="K15" s="20">
        <v>0</v>
      </c>
      <c r="L15" s="18">
        <v>1</v>
      </c>
      <c r="M15" s="19">
        <v>0</v>
      </c>
      <c r="N15" s="19">
        <v>0</v>
      </c>
      <c r="O15" s="19">
        <v>0</v>
      </c>
      <c r="P15" s="20">
        <v>0</v>
      </c>
      <c r="Q15" s="18">
        <v>1</v>
      </c>
      <c r="R15" s="19">
        <v>0</v>
      </c>
      <c r="S15" s="19">
        <v>0</v>
      </c>
      <c r="T15" s="19">
        <v>0</v>
      </c>
      <c r="U15" s="20">
        <v>0</v>
      </c>
      <c r="V15" s="18">
        <v>1</v>
      </c>
      <c r="W15" s="19">
        <v>0</v>
      </c>
      <c r="X15" s="19">
        <v>0</v>
      </c>
      <c r="Y15" s="19">
        <v>0</v>
      </c>
      <c r="Z15" s="20">
        <v>0</v>
      </c>
      <c r="AA15" s="18">
        <v>1</v>
      </c>
      <c r="AB15" s="19">
        <v>0</v>
      </c>
      <c r="AC15" s="19">
        <v>0</v>
      </c>
      <c r="AD15" s="19">
        <v>0</v>
      </c>
      <c r="AE15" s="20">
        <v>0</v>
      </c>
      <c r="AF15" s="18">
        <v>1</v>
      </c>
      <c r="AG15" s="19">
        <v>1</v>
      </c>
      <c r="AH15" s="19">
        <v>1</v>
      </c>
      <c r="AI15" s="19">
        <v>1</v>
      </c>
      <c r="AJ15" s="20">
        <v>1</v>
      </c>
      <c r="AK15" s="63">
        <v>9</v>
      </c>
      <c r="AL15" s="6">
        <v>0</v>
      </c>
      <c r="AM15" s="7">
        <v>1</v>
      </c>
      <c r="AN15" s="7">
        <v>0</v>
      </c>
      <c r="AO15" s="7">
        <v>0</v>
      </c>
      <c r="AP15" s="8">
        <v>1</v>
      </c>
    </row>
    <row r="16" spans="1:42" x14ac:dyDescent="0.2">
      <c r="A16" s="13" t="s">
        <v>98</v>
      </c>
      <c r="B16" s="14">
        <v>1</v>
      </c>
      <c r="C16" s="15">
        <v>0</v>
      </c>
      <c r="D16" s="15">
        <v>0</v>
      </c>
      <c r="E16" s="15">
        <v>0</v>
      </c>
      <c r="F16" s="16">
        <v>1</v>
      </c>
      <c r="G16" s="14">
        <v>1</v>
      </c>
      <c r="H16" s="15">
        <v>1</v>
      </c>
      <c r="I16" s="15">
        <v>0</v>
      </c>
      <c r="J16" s="15">
        <v>1</v>
      </c>
      <c r="K16" s="16">
        <v>1</v>
      </c>
      <c r="L16" s="14">
        <v>1</v>
      </c>
      <c r="M16" s="15">
        <v>0</v>
      </c>
      <c r="N16" s="15">
        <v>1</v>
      </c>
      <c r="O16" s="15">
        <v>0</v>
      </c>
      <c r="P16" s="16">
        <v>1</v>
      </c>
      <c r="Q16" s="14">
        <v>1</v>
      </c>
      <c r="R16" s="15">
        <v>0</v>
      </c>
      <c r="S16" s="15">
        <v>1</v>
      </c>
      <c r="T16" s="15">
        <v>0</v>
      </c>
      <c r="U16" s="16">
        <v>1</v>
      </c>
      <c r="V16" s="14">
        <v>1</v>
      </c>
      <c r="W16" s="15">
        <v>0</v>
      </c>
      <c r="X16" s="15">
        <v>0</v>
      </c>
      <c r="Y16" s="15">
        <v>0</v>
      </c>
      <c r="Z16" s="16">
        <v>1</v>
      </c>
      <c r="AA16" s="14">
        <v>1</v>
      </c>
      <c r="AB16" s="15">
        <v>0</v>
      </c>
      <c r="AC16" s="15">
        <v>0</v>
      </c>
      <c r="AD16" s="15">
        <v>0</v>
      </c>
      <c r="AE16" s="16">
        <v>1</v>
      </c>
      <c r="AF16" s="14">
        <v>1</v>
      </c>
      <c r="AG16" s="15">
        <v>0</v>
      </c>
      <c r="AH16" s="15">
        <v>0</v>
      </c>
      <c r="AI16" s="15">
        <v>0</v>
      </c>
      <c r="AJ16" s="16">
        <v>1</v>
      </c>
      <c r="AK16" s="63">
        <v>18</v>
      </c>
      <c r="AL16" s="6">
        <v>1</v>
      </c>
      <c r="AM16" s="7">
        <v>0</v>
      </c>
      <c r="AN16" s="7">
        <v>0</v>
      </c>
      <c r="AO16" s="7">
        <v>1</v>
      </c>
      <c r="AP16" s="8">
        <v>0</v>
      </c>
    </row>
    <row r="17" spans="1:42" x14ac:dyDescent="0.2">
      <c r="A17" s="13" t="s">
        <v>99</v>
      </c>
      <c r="B17" s="14">
        <v>1</v>
      </c>
      <c r="C17" s="15">
        <v>0</v>
      </c>
      <c r="D17" s="15">
        <v>0</v>
      </c>
      <c r="E17" s="15">
        <v>0</v>
      </c>
      <c r="F17" s="16">
        <v>1</v>
      </c>
      <c r="G17" s="14">
        <v>1</v>
      </c>
      <c r="H17" s="15">
        <v>1</v>
      </c>
      <c r="I17" s="15">
        <v>0</v>
      </c>
      <c r="J17" s="15">
        <v>0</v>
      </c>
      <c r="K17" s="16">
        <v>1</v>
      </c>
      <c r="L17" s="14">
        <v>1</v>
      </c>
      <c r="M17" s="15">
        <v>0</v>
      </c>
      <c r="N17" s="15">
        <v>1</v>
      </c>
      <c r="O17" s="15">
        <v>0</v>
      </c>
      <c r="P17" s="16">
        <v>1</v>
      </c>
      <c r="Q17" s="14">
        <v>1</v>
      </c>
      <c r="R17" s="15">
        <v>0</v>
      </c>
      <c r="S17" s="15">
        <v>1</v>
      </c>
      <c r="T17" s="15">
        <v>0</v>
      </c>
      <c r="U17" s="16">
        <v>1</v>
      </c>
      <c r="V17" s="14">
        <v>1</v>
      </c>
      <c r="W17" s="15">
        <v>0</v>
      </c>
      <c r="X17" s="15">
        <v>1</v>
      </c>
      <c r="Y17" s="15">
        <v>0</v>
      </c>
      <c r="Z17" s="16">
        <v>1</v>
      </c>
      <c r="AA17" s="14">
        <v>1</v>
      </c>
      <c r="AB17" s="15">
        <v>0</v>
      </c>
      <c r="AC17" s="15">
        <v>0</v>
      </c>
      <c r="AD17" s="15">
        <v>1</v>
      </c>
      <c r="AE17" s="16">
        <v>1</v>
      </c>
      <c r="AF17" s="14">
        <v>1</v>
      </c>
      <c r="AG17" s="15">
        <v>0</v>
      </c>
      <c r="AH17" s="15">
        <v>0</v>
      </c>
      <c r="AI17" s="15">
        <v>0</v>
      </c>
      <c r="AJ17" s="16">
        <v>1</v>
      </c>
      <c r="AK17" s="63">
        <v>17</v>
      </c>
      <c r="AL17" s="6">
        <v>1</v>
      </c>
      <c r="AM17" s="7">
        <v>0</v>
      </c>
      <c r="AN17" s="7">
        <v>0</v>
      </c>
      <c r="AO17" s="7">
        <v>0</v>
      </c>
      <c r="AP17" s="8">
        <v>1</v>
      </c>
    </row>
    <row r="18" spans="1:42" x14ac:dyDescent="0.2">
      <c r="A18" s="51" t="s">
        <v>100</v>
      </c>
      <c r="B18" s="52">
        <v>0</v>
      </c>
      <c r="C18" s="53">
        <v>1</v>
      </c>
      <c r="D18" s="53">
        <v>1</v>
      </c>
      <c r="E18" s="53">
        <v>1</v>
      </c>
      <c r="F18" s="54">
        <v>0</v>
      </c>
      <c r="G18" s="52">
        <v>1</v>
      </c>
      <c r="H18" s="53">
        <v>0</v>
      </c>
      <c r="I18" s="53">
        <v>0</v>
      </c>
      <c r="J18" s="53">
        <v>0</v>
      </c>
      <c r="K18" s="54">
        <v>1</v>
      </c>
      <c r="L18" s="52">
        <v>1</v>
      </c>
      <c r="M18" s="53">
        <v>0</v>
      </c>
      <c r="N18" s="53">
        <v>0</v>
      </c>
      <c r="O18" s="53">
        <v>0</v>
      </c>
      <c r="P18" s="54">
        <v>1</v>
      </c>
      <c r="Q18" s="52">
        <v>1</v>
      </c>
      <c r="R18" s="53">
        <v>0</v>
      </c>
      <c r="S18" s="53">
        <v>0</v>
      </c>
      <c r="T18" s="53">
        <v>0</v>
      </c>
      <c r="U18" s="54">
        <v>1</v>
      </c>
      <c r="V18" s="52">
        <v>1</v>
      </c>
      <c r="W18" s="53">
        <v>0</v>
      </c>
      <c r="X18" s="53">
        <v>0</v>
      </c>
      <c r="Y18" s="53">
        <v>0</v>
      </c>
      <c r="Z18" s="54">
        <v>1</v>
      </c>
      <c r="AA18" s="52">
        <v>1</v>
      </c>
      <c r="AB18" s="53">
        <v>0</v>
      </c>
      <c r="AC18" s="53">
        <v>0</v>
      </c>
      <c r="AD18" s="53">
        <v>0</v>
      </c>
      <c r="AE18" s="54">
        <v>1</v>
      </c>
      <c r="AF18" s="52">
        <v>0</v>
      </c>
      <c r="AG18" s="53">
        <v>1</v>
      </c>
      <c r="AH18" s="53">
        <v>1</v>
      </c>
      <c r="AI18" s="53">
        <v>1</v>
      </c>
      <c r="AJ18" s="54">
        <v>0</v>
      </c>
      <c r="AK18" s="63">
        <v>7</v>
      </c>
      <c r="AL18" s="6">
        <v>0</v>
      </c>
      <c r="AM18" s="7">
        <v>0</v>
      </c>
      <c r="AN18" s="7">
        <v>1</v>
      </c>
      <c r="AO18" s="7">
        <v>1</v>
      </c>
      <c r="AP18" s="8">
        <v>1</v>
      </c>
    </row>
    <row r="19" spans="1:42" x14ac:dyDescent="0.2">
      <c r="A19" s="21" t="s">
        <v>101</v>
      </c>
      <c r="B19" s="22">
        <v>1</v>
      </c>
      <c r="C19" s="23">
        <v>1</v>
      </c>
      <c r="D19" s="23">
        <v>1</v>
      </c>
      <c r="E19" s="23">
        <v>1</v>
      </c>
      <c r="F19" s="24">
        <v>0</v>
      </c>
      <c r="G19" s="22">
        <v>1</v>
      </c>
      <c r="H19" s="23">
        <v>0</v>
      </c>
      <c r="I19" s="23">
        <v>0</v>
      </c>
      <c r="J19" s="23">
        <v>0</v>
      </c>
      <c r="K19" s="24">
        <v>1</v>
      </c>
      <c r="L19" s="22">
        <v>1</v>
      </c>
      <c r="M19" s="23">
        <v>0</v>
      </c>
      <c r="N19" s="23">
        <v>0</v>
      </c>
      <c r="O19" s="23">
        <v>0</v>
      </c>
      <c r="P19" s="24">
        <v>1</v>
      </c>
      <c r="Q19" s="22">
        <v>1</v>
      </c>
      <c r="R19" s="23">
        <v>1</v>
      </c>
      <c r="S19" s="23">
        <v>1</v>
      </c>
      <c r="T19" s="23">
        <v>1</v>
      </c>
      <c r="U19" s="24">
        <v>0</v>
      </c>
      <c r="V19" s="22">
        <v>1</v>
      </c>
      <c r="W19" s="23">
        <v>0</v>
      </c>
      <c r="X19" s="23">
        <v>0</v>
      </c>
      <c r="Y19" s="23">
        <v>0</v>
      </c>
      <c r="Z19" s="24">
        <v>0</v>
      </c>
      <c r="AA19" s="22">
        <v>1</v>
      </c>
      <c r="AB19" s="23">
        <v>0</v>
      </c>
      <c r="AC19" s="23">
        <v>0</v>
      </c>
      <c r="AD19" s="23">
        <v>0</v>
      </c>
      <c r="AE19" s="24">
        <v>0</v>
      </c>
      <c r="AF19" s="22">
        <v>1</v>
      </c>
      <c r="AG19" s="23">
        <v>0</v>
      </c>
      <c r="AH19" s="23">
        <v>0</v>
      </c>
      <c r="AI19" s="23">
        <v>0</v>
      </c>
      <c r="AJ19" s="24">
        <v>0</v>
      </c>
      <c r="AK19" s="63">
        <v>20</v>
      </c>
      <c r="AL19" s="6">
        <v>1</v>
      </c>
      <c r="AM19" s="7">
        <v>0</v>
      </c>
      <c r="AN19" s="7">
        <v>1</v>
      </c>
      <c r="AO19" s="7">
        <v>0</v>
      </c>
      <c r="AP19" s="8">
        <v>0</v>
      </c>
    </row>
    <row r="20" spans="1:42" x14ac:dyDescent="0.2">
      <c r="A20" s="9" t="s">
        <v>102</v>
      </c>
      <c r="B20" s="10">
        <v>0</v>
      </c>
      <c r="C20" s="11">
        <v>1</v>
      </c>
      <c r="D20" s="11">
        <v>1</v>
      </c>
      <c r="E20" s="11">
        <v>1</v>
      </c>
      <c r="F20" s="12">
        <v>0</v>
      </c>
      <c r="G20" s="10">
        <v>1</v>
      </c>
      <c r="H20" s="11">
        <v>0</v>
      </c>
      <c r="I20" s="11">
        <v>0</v>
      </c>
      <c r="J20" s="11">
        <v>0</v>
      </c>
      <c r="K20" s="12">
        <v>1</v>
      </c>
      <c r="L20" s="10">
        <v>1</v>
      </c>
      <c r="M20" s="11">
        <v>0</v>
      </c>
      <c r="N20" s="11">
        <v>0</v>
      </c>
      <c r="O20" s="11">
        <v>0</v>
      </c>
      <c r="P20" s="12">
        <v>1</v>
      </c>
      <c r="Q20" s="10">
        <v>1</v>
      </c>
      <c r="R20" s="11">
        <v>0</v>
      </c>
      <c r="S20" s="11">
        <v>0</v>
      </c>
      <c r="T20" s="11">
        <v>0</v>
      </c>
      <c r="U20" s="12">
        <v>1</v>
      </c>
      <c r="V20" s="10">
        <v>1</v>
      </c>
      <c r="W20" s="11">
        <v>0</v>
      </c>
      <c r="X20" s="11">
        <v>1</v>
      </c>
      <c r="Y20" s="11">
        <v>0</v>
      </c>
      <c r="Z20" s="12">
        <v>1</v>
      </c>
      <c r="AA20" s="10">
        <v>1</v>
      </c>
      <c r="AB20" s="11">
        <v>0</v>
      </c>
      <c r="AC20" s="11">
        <v>0</v>
      </c>
      <c r="AD20" s="11">
        <v>1</v>
      </c>
      <c r="AE20" s="12">
        <v>1</v>
      </c>
      <c r="AF20" s="10">
        <v>0</v>
      </c>
      <c r="AG20" s="11">
        <v>1</v>
      </c>
      <c r="AH20" s="11">
        <v>1</v>
      </c>
      <c r="AI20" s="11">
        <v>1</v>
      </c>
      <c r="AJ20" s="12">
        <v>0</v>
      </c>
      <c r="AK20" s="63">
        <v>8</v>
      </c>
      <c r="AL20" s="6">
        <v>0</v>
      </c>
      <c r="AM20" s="7">
        <v>1</v>
      </c>
      <c r="AN20" s="7">
        <v>0</v>
      </c>
      <c r="AO20" s="7">
        <v>0</v>
      </c>
      <c r="AP20" s="8">
        <v>0</v>
      </c>
    </row>
    <row r="21" spans="1:42" x14ac:dyDescent="0.2">
      <c r="A21" s="21" t="s">
        <v>103</v>
      </c>
      <c r="B21" s="22">
        <v>1</v>
      </c>
      <c r="C21" s="23">
        <v>1</v>
      </c>
      <c r="D21" s="23">
        <v>1</v>
      </c>
      <c r="E21" s="23">
        <v>1</v>
      </c>
      <c r="F21" s="24">
        <v>0</v>
      </c>
      <c r="G21" s="22">
        <v>1</v>
      </c>
      <c r="H21" s="23">
        <v>0</v>
      </c>
      <c r="I21" s="23">
        <v>0</v>
      </c>
      <c r="J21" s="23">
        <v>0</v>
      </c>
      <c r="K21" s="24">
        <v>1</v>
      </c>
      <c r="L21" s="22">
        <v>1</v>
      </c>
      <c r="M21" s="23">
        <v>0</v>
      </c>
      <c r="N21" s="23">
        <v>0</v>
      </c>
      <c r="O21" s="23">
        <v>0</v>
      </c>
      <c r="P21" s="24">
        <v>1</v>
      </c>
      <c r="Q21" s="22">
        <v>1</v>
      </c>
      <c r="R21" s="23">
        <v>1</v>
      </c>
      <c r="S21" s="23">
        <v>1</v>
      </c>
      <c r="T21" s="23">
        <v>1</v>
      </c>
      <c r="U21" s="24">
        <v>0</v>
      </c>
      <c r="V21" s="22">
        <v>1</v>
      </c>
      <c r="W21" s="23">
        <v>0</v>
      </c>
      <c r="X21" s="23">
        <v>1</v>
      </c>
      <c r="Y21" s="23">
        <v>0</v>
      </c>
      <c r="Z21" s="24">
        <v>0</v>
      </c>
      <c r="AA21" s="22">
        <v>1</v>
      </c>
      <c r="AB21" s="23">
        <v>0</v>
      </c>
      <c r="AC21" s="23">
        <v>0</v>
      </c>
      <c r="AD21" s="23">
        <v>1</v>
      </c>
      <c r="AE21" s="24">
        <v>0</v>
      </c>
      <c r="AF21" s="22">
        <v>1</v>
      </c>
      <c r="AG21" s="23">
        <v>0</v>
      </c>
      <c r="AH21" s="23">
        <v>0</v>
      </c>
      <c r="AI21" s="23">
        <v>0</v>
      </c>
      <c r="AJ21" s="24">
        <v>1</v>
      </c>
      <c r="AK21" s="63">
        <v>22</v>
      </c>
      <c r="AL21" s="6">
        <v>1</v>
      </c>
      <c r="AM21" s="7">
        <v>0</v>
      </c>
      <c r="AN21" s="7">
        <v>1</v>
      </c>
      <c r="AO21" s="7">
        <v>1</v>
      </c>
      <c r="AP21" s="8">
        <v>0</v>
      </c>
    </row>
    <row r="22" spans="1:42" x14ac:dyDescent="0.2">
      <c r="A22" s="51" t="s">
        <v>104</v>
      </c>
      <c r="B22" s="52">
        <v>0</v>
      </c>
      <c r="C22" s="53">
        <v>1</v>
      </c>
      <c r="D22" s="53">
        <v>1</v>
      </c>
      <c r="E22" s="53">
        <v>1</v>
      </c>
      <c r="F22" s="54">
        <v>0</v>
      </c>
      <c r="G22" s="52">
        <v>1</v>
      </c>
      <c r="H22" s="53">
        <v>0</v>
      </c>
      <c r="I22" s="53">
        <v>0</v>
      </c>
      <c r="J22" s="53">
        <v>0</v>
      </c>
      <c r="K22" s="54">
        <v>1</v>
      </c>
      <c r="L22" s="52">
        <v>1</v>
      </c>
      <c r="M22" s="53">
        <v>0</v>
      </c>
      <c r="N22" s="53">
        <v>0</v>
      </c>
      <c r="O22" s="53">
        <v>0</v>
      </c>
      <c r="P22" s="54">
        <v>0</v>
      </c>
      <c r="Q22" s="52">
        <v>0</v>
      </c>
      <c r="R22" s="53">
        <v>1</v>
      </c>
      <c r="S22" s="53">
        <v>1</v>
      </c>
      <c r="T22" s="53">
        <v>1</v>
      </c>
      <c r="U22" s="54">
        <v>0</v>
      </c>
      <c r="V22" s="52">
        <v>0</v>
      </c>
      <c r="W22" s="53">
        <v>0</v>
      </c>
      <c r="X22" s="53">
        <v>0</v>
      </c>
      <c r="Y22" s="53">
        <v>0</v>
      </c>
      <c r="Z22" s="54">
        <v>1</v>
      </c>
      <c r="AA22" s="52">
        <v>1</v>
      </c>
      <c r="AB22" s="53">
        <v>0</v>
      </c>
      <c r="AC22" s="53">
        <v>0</v>
      </c>
      <c r="AD22" s="53">
        <v>0</v>
      </c>
      <c r="AE22" s="54">
        <v>1</v>
      </c>
      <c r="AF22" s="52">
        <v>0</v>
      </c>
      <c r="AG22" s="53">
        <v>1</v>
      </c>
      <c r="AH22" s="53">
        <v>1</v>
      </c>
      <c r="AI22" s="53">
        <v>1</v>
      </c>
      <c r="AJ22" s="54">
        <v>0</v>
      </c>
      <c r="AK22" s="63">
        <v>4</v>
      </c>
      <c r="AL22" s="6">
        <v>0</v>
      </c>
      <c r="AM22" s="7">
        <v>0</v>
      </c>
      <c r="AN22" s="7">
        <v>1</v>
      </c>
      <c r="AO22" s="7">
        <v>0</v>
      </c>
      <c r="AP22" s="8">
        <v>0</v>
      </c>
    </row>
    <row r="23" spans="1:42" x14ac:dyDescent="0.2">
      <c r="A23" s="1" t="s">
        <v>105</v>
      </c>
      <c r="B23" s="2">
        <v>1</v>
      </c>
      <c r="C23" s="3">
        <v>1</v>
      </c>
      <c r="D23" s="3">
        <v>1</v>
      </c>
      <c r="E23" s="3">
        <v>1</v>
      </c>
      <c r="F23" s="4">
        <v>1</v>
      </c>
      <c r="G23" s="2">
        <v>0</v>
      </c>
      <c r="H23" s="3">
        <v>0</v>
      </c>
      <c r="I23" s="3">
        <v>1</v>
      </c>
      <c r="J23" s="3">
        <v>0</v>
      </c>
      <c r="K23" s="4">
        <v>0</v>
      </c>
      <c r="L23" s="2">
        <v>0</v>
      </c>
      <c r="M23" s="3">
        <v>0</v>
      </c>
      <c r="N23" s="3">
        <v>1</v>
      </c>
      <c r="O23" s="3">
        <v>0</v>
      </c>
      <c r="P23" s="4">
        <v>0</v>
      </c>
      <c r="Q23" s="2">
        <v>0</v>
      </c>
      <c r="R23" s="3">
        <v>0</v>
      </c>
      <c r="S23" s="3">
        <v>1</v>
      </c>
      <c r="T23" s="3">
        <v>0</v>
      </c>
      <c r="U23" s="4">
        <v>0</v>
      </c>
      <c r="V23" s="2">
        <v>0</v>
      </c>
      <c r="W23" s="3">
        <v>0</v>
      </c>
      <c r="X23" s="3">
        <v>1</v>
      </c>
      <c r="Y23" s="3">
        <v>0</v>
      </c>
      <c r="Z23" s="4">
        <v>0</v>
      </c>
      <c r="AA23" s="2">
        <v>0</v>
      </c>
      <c r="AB23" s="3">
        <v>0</v>
      </c>
      <c r="AC23" s="3">
        <v>1</v>
      </c>
      <c r="AD23" s="3">
        <v>0</v>
      </c>
      <c r="AE23" s="4">
        <v>0</v>
      </c>
      <c r="AF23" s="2">
        <v>0</v>
      </c>
      <c r="AG23" s="3">
        <v>0</v>
      </c>
      <c r="AH23" s="3">
        <v>1</v>
      </c>
      <c r="AI23" s="3">
        <v>0</v>
      </c>
      <c r="AJ23" s="4">
        <v>0</v>
      </c>
      <c r="AK23" s="63">
        <v>24</v>
      </c>
      <c r="AL23" s="6">
        <v>1</v>
      </c>
      <c r="AM23" s="7">
        <v>1</v>
      </c>
      <c r="AN23" s="7">
        <v>0</v>
      </c>
      <c r="AO23" s="7">
        <v>0</v>
      </c>
      <c r="AP23" s="8">
        <v>0</v>
      </c>
    </row>
    <row r="24" spans="1:42" x14ac:dyDescent="0.2">
      <c r="A24" s="13" t="s">
        <v>106</v>
      </c>
      <c r="B24" s="14">
        <v>1</v>
      </c>
      <c r="C24" s="15">
        <v>0</v>
      </c>
      <c r="D24" s="15">
        <v>0</v>
      </c>
      <c r="E24" s="15">
        <v>0</v>
      </c>
      <c r="F24" s="16">
        <v>1</v>
      </c>
      <c r="G24" s="14">
        <v>1</v>
      </c>
      <c r="H24" s="15">
        <v>0</v>
      </c>
      <c r="I24" s="15">
        <v>0</v>
      </c>
      <c r="J24" s="15">
        <v>0</v>
      </c>
      <c r="K24" s="16">
        <v>1</v>
      </c>
      <c r="L24" s="14">
        <v>1</v>
      </c>
      <c r="M24" s="15">
        <v>0</v>
      </c>
      <c r="N24" s="15">
        <v>0</v>
      </c>
      <c r="O24" s="15">
        <v>0</v>
      </c>
      <c r="P24" s="16">
        <v>1</v>
      </c>
      <c r="Q24" s="14">
        <v>1</v>
      </c>
      <c r="R24" s="15">
        <v>0</v>
      </c>
      <c r="S24" s="15">
        <v>0</v>
      </c>
      <c r="T24" s="15">
        <v>0</v>
      </c>
      <c r="U24" s="16">
        <v>1</v>
      </c>
      <c r="V24" s="14">
        <v>1</v>
      </c>
      <c r="W24" s="15">
        <v>0</v>
      </c>
      <c r="X24" s="15">
        <v>0</v>
      </c>
      <c r="Y24" s="15">
        <v>0</v>
      </c>
      <c r="Z24" s="16">
        <v>1</v>
      </c>
      <c r="AA24" s="14">
        <v>1</v>
      </c>
      <c r="AB24" s="15">
        <v>0</v>
      </c>
      <c r="AC24" s="15">
        <v>0</v>
      </c>
      <c r="AD24" s="15">
        <v>0</v>
      </c>
      <c r="AE24" s="16">
        <v>1</v>
      </c>
      <c r="AF24" s="14">
        <v>0</v>
      </c>
      <c r="AG24" s="15">
        <v>1</v>
      </c>
      <c r="AH24" s="15">
        <v>1</v>
      </c>
      <c r="AI24" s="15">
        <v>1</v>
      </c>
      <c r="AJ24" s="16">
        <v>0</v>
      </c>
      <c r="AK24" s="63">
        <v>13</v>
      </c>
      <c r="AL24" s="6">
        <v>0</v>
      </c>
      <c r="AM24" s="7">
        <v>1</v>
      </c>
      <c r="AN24" s="7">
        <v>1</v>
      </c>
      <c r="AO24" s="7">
        <v>0</v>
      </c>
      <c r="AP24" s="4">
        <v>1</v>
      </c>
    </row>
    <row r="25" spans="1:42" x14ac:dyDescent="0.2">
      <c r="A25" s="13" t="s">
        <v>107</v>
      </c>
      <c r="B25" s="14">
        <v>1</v>
      </c>
      <c r="C25" s="15">
        <v>0</v>
      </c>
      <c r="D25" s="15">
        <v>0</v>
      </c>
      <c r="E25" s="15">
        <v>0</v>
      </c>
      <c r="F25" s="16">
        <v>1</v>
      </c>
      <c r="G25" s="14">
        <v>1</v>
      </c>
      <c r="H25" s="15">
        <v>0</v>
      </c>
      <c r="I25" s="15">
        <v>0</v>
      </c>
      <c r="J25" s="15">
        <v>0</v>
      </c>
      <c r="K25" s="16">
        <v>1</v>
      </c>
      <c r="L25" s="14">
        <v>1</v>
      </c>
      <c r="M25" s="15">
        <v>0</v>
      </c>
      <c r="N25" s="15">
        <v>0</v>
      </c>
      <c r="O25" s="15">
        <v>0</v>
      </c>
      <c r="P25" s="16">
        <v>1</v>
      </c>
      <c r="Q25" s="14">
        <v>1</v>
      </c>
      <c r="R25" s="15">
        <v>0</v>
      </c>
      <c r="S25" s="15">
        <v>0</v>
      </c>
      <c r="T25" s="15">
        <v>0</v>
      </c>
      <c r="U25" s="16">
        <v>1</v>
      </c>
      <c r="V25" s="14">
        <v>1</v>
      </c>
      <c r="W25" s="15">
        <v>0</v>
      </c>
      <c r="X25" s="15">
        <v>0</v>
      </c>
      <c r="Y25" s="15">
        <v>0</v>
      </c>
      <c r="Z25" s="16">
        <v>1</v>
      </c>
      <c r="AA25" s="14">
        <v>0</v>
      </c>
      <c r="AB25" s="15">
        <v>1</v>
      </c>
      <c r="AC25" s="15">
        <v>0</v>
      </c>
      <c r="AD25" s="15">
        <v>1</v>
      </c>
      <c r="AE25" s="16">
        <v>0</v>
      </c>
      <c r="AF25" s="14">
        <v>0</v>
      </c>
      <c r="AG25" s="15">
        <v>0</v>
      </c>
      <c r="AH25" s="15">
        <v>1</v>
      </c>
      <c r="AI25" s="15">
        <v>0</v>
      </c>
      <c r="AJ25" s="16">
        <v>0</v>
      </c>
      <c r="AK25" s="63">
        <v>12</v>
      </c>
      <c r="AL25" s="6">
        <v>0</v>
      </c>
      <c r="AM25" s="7">
        <v>1</v>
      </c>
      <c r="AN25" s="7">
        <v>1</v>
      </c>
      <c r="AO25" s="7">
        <v>0</v>
      </c>
      <c r="AP25" s="8">
        <v>0</v>
      </c>
    </row>
    <row r="26" spans="1:42" x14ac:dyDescent="0.2">
      <c r="A26" s="13" t="s">
        <v>108</v>
      </c>
      <c r="B26" s="14">
        <v>1</v>
      </c>
      <c r="C26" s="15">
        <v>0</v>
      </c>
      <c r="D26" s="15">
        <v>0</v>
      </c>
      <c r="E26" s="15">
        <v>0</v>
      </c>
      <c r="F26" s="16">
        <v>1</v>
      </c>
      <c r="G26" s="14">
        <v>1</v>
      </c>
      <c r="H26" s="15">
        <v>0</v>
      </c>
      <c r="I26" s="15">
        <v>0</v>
      </c>
      <c r="J26" s="15">
        <v>0</v>
      </c>
      <c r="K26" s="16">
        <v>1</v>
      </c>
      <c r="L26" s="14">
        <v>1</v>
      </c>
      <c r="M26" s="15">
        <v>0</v>
      </c>
      <c r="N26" s="15">
        <v>0</v>
      </c>
      <c r="O26" s="15">
        <v>0</v>
      </c>
      <c r="P26" s="16">
        <v>1</v>
      </c>
      <c r="Q26" s="14">
        <v>1</v>
      </c>
      <c r="R26" s="15">
        <v>0</v>
      </c>
      <c r="S26" s="15">
        <v>0</v>
      </c>
      <c r="T26" s="15">
        <v>0</v>
      </c>
      <c r="U26" s="16">
        <v>1</v>
      </c>
      <c r="V26" s="14">
        <v>1</v>
      </c>
      <c r="W26" s="15">
        <v>0</v>
      </c>
      <c r="X26" s="15">
        <v>1</v>
      </c>
      <c r="Y26" s="15">
        <v>0</v>
      </c>
      <c r="Z26" s="16">
        <v>1</v>
      </c>
      <c r="AA26" s="14">
        <v>1</v>
      </c>
      <c r="AB26" s="15">
        <v>0</v>
      </c>
      <c r="AC26" s="15">
        <v>1</v>
      </c>
      <c r="AD26" s="15">
        <v>0</v>
      </c>
      <c r="AE26" s="16">
        <v>1</v>
      </c>
      <c r="AF26" s="14">
        <v>0</v>
      </c>
      <c r="AG26" s="15">
        <v>1</v>
      </c>
      <c r="AH26" s="15">
        <v>0</v>
      </c>
      <c r="AI26" s="15">
        <v>1</v>
      </c>
      <c r="AJ26" s="16">
        <v>0</v>
      </c>
      <c r="AK26" s="63">
        <v>14</v>
      </c>
      <c r="AL26" s="6">
        <v>0</v>
      </c>
      <c r="AM26" s="7">
        <v>1</v>
      </c>
      <c r="AN26" s="7">
        <v>1</v>
      </c>
      <c r="AO26" s="7">
        <v>1</v>
      </c>
      <c r="AP26" s="8">
        <v>0</v>
      </c>
    </row>
    <row r="27" spans="1:42" x14ac:dyDescent="0.2">
      <c r="A27" s="13" t="s">
        <v>109</v>
      </c>
      <c r="B27" s="14">
        <v>1</v>
      </c>
      <c r="C27" s="15">
        <v>0</v>
      </c>
      <c r="D27" s="15">
        <v>0</v>
      </c>
      <c r="E27" s="15">
        <v>0</v>
      </c>
      <c r="F27" s="16">
        <v>1</v>
      </c>
      <c r="G27" s="14">
        <v>1</v>
      </c>
      <c r="H27" s="15">
        <v>0</v>
      </c>
      <c r="I27" s="15">
        <v>0</v>
      </c>
      <c r="J27" s="15">
        <v>0</v>
      </c>
      <c r="K27" s="16">
        <v>1</v>
      </c>
      <c r="L27" s="14">
        <v>0</v>
      </c>
      <c r="M27" s="15">
        <v>1</v>
      </c>
      <c r="N27" s="15">
        <v>0</v>
      </c>
      <c r="O27" s="15">
        <v>1</v>
      </c>
      <c r="P27" s="16">
        <v>0</v>
      </c>
      <c r="Q27" s="14">
        <v>0</v>
      </c>
      <c r="R27" s="15">
        <v>0</v>
      </c>
      <c r="S27" s="15">
        <v>1</v>
      </c>
      <c r="T27" s="15">
        <v>0</v>
      </c>
      <c r="U27" s="16">
        <v>0</v>
      </c>
      <c r="V27" s="14">
        <v>0</v>
      </c>
      <c r="W27" s="15">
        <v>1</v>
      </c>
      <c r="X27" s="15">
        <v>0</v>
      </c>
      <c r="Y27" s="15">
        <v>1</v>
      </c>
      <c r="Z27" s="16">
        <v>0</v>
      </c>
      <c r="AA27" s="14">
        <v>1</v>
      </c>
      <c r="AB27" s="15">
        <v>0</v>
      </c>
      <c r="AC27" s="15">
        <v>0</v>
      </c>
      <c r="AD27" s="15">
        <v>0</v>
      </c>
      <c r="AE27" s="16">
        <v>1</v>
      </c>
      <c r="AF27" s="14">
        <v>1</v>
      </c>
      <c r="AG27" s="15">
        <v>0</v>
      </c>
      <c r="AH27" s="15">
        <v>0</v>
      </c>
      <c r="AI27" s="15">
        <v>0</v>
      </c>
      <c r="AJ27" s="16">
        <v>1</v>
      </c>
      <c r="AK27" s="63">
        <v>11</v>
      </c>
      <c r="AL27" s="6">
        <v>0</v>
      </c>
      <c r="AM27" s="7">
        <v>1</v>
      </c>
      <c r="AN27" s="7">
        <v>0</v>
      </c>
      <c r="AO27" s="7">
        <v>1</v>
      </c>
      <c r="AP27" s="8">
        <v>1</v>
      </c>
    </row>
    <row r="28" spans="1:42" x14ac:dyDescent="0.2">
      <c r="A28" s="13" t="s">
        <v>110</v>
      </c>
      <c r="B28" s="14">
        <v>1</v>
      </c>
      <c r="C28" s="15">
        <v>0</v>
      </c>
      <c r="D28" s="15">
        <v>0</v>
      </c>
      <c r="E28" s="15">
        <v>0</v>
      </c>
      <c r="F28" s="16">
        <v>1</v>
      </c>
      <c r="G28" s="14">
        <v>1</v>
      </c>
      <c r="H28" s="15">
        <v>0</v>
      </c>
      <c r="I28" s="15">
        <v>0</v>
      </c>
      <c r="J28" s="15">
        <v>0</v>
      </c>
      <c r="K28" s="16">
        <v>1</v>
      </c>
      <c r="L28" s="14">
        <v>0</v>
      </c>
      <c r="M28" s="15">
        <v>1</v>
      </c>
      <c r="N28" s="15">
        <v>0</v>
      </c>
      <c r="O28" s="15">
        <v>1</v>
      </c>
      <c r="P28" s="16">
        <v>0</v>
      </c>
      <c r="Q28" s="14">
        <v>0</v>
      </c>
      <c r="R28" s="15">
        <v>0</v>
      </c>
      <c r="S28" s="15">
        <v>1</v>
      </c>
      <c r="T28" s="15">
        <v>0</v>
      </c>
      <c r="U28" s="16">
        <v>0</v>
      </c>
      <c r="V28" s="14">
        <v>0</v>
      </c>
      <c r="W28" s="15">
        <v>0</v>
      </c>
      <c r="X28" s="15">
        <v>1</v>
      </c>
      <c r="Y28" s="15">
        <v>0</v>
      </c>
      <c r="Z28" s="16">
        <v>0</v>
      </c>
      <c r="AA28" s="14">
        <v>0</v>
      </c>
      <c r="AB28" s="15">
        <v>0</v>
      </c>
      <c r="AC28" s="15">
        <v>1</v>
      </c>
      <c r="AD28" s="15">
        <v>0</v>
      </c>
      <c r="AE28" s="16">
        <v>0</v>
      </c>
      <c r="AF28" s="14">
        <v>0</v>
      </c>
      <c r="AG28" s="15">
        <v>0</v>
      </c>
      <c r="AH28" s="15">
        <v>1</v>
      </c>
      <c r="AI28" s="15">
        <v>0</v>
      </c>
      <c r="AJ28" s="16">
        <v>0</v>
      </c>
      <c r="AK28" s="63">
        <v>10</v>
      </c>
      <c r="AL28" s="6">
        <v>0</v>
      </c>
      <c r="AM28" s="7">
        <v>1</v>
      </c>
      <c r="AN28" s="7">
        <v>0</v>
      </c>
      <c r="AO28" s="7">
        <v>1</v>
      </c>
      <c r="AP28" s="8">
        <v>0</v>
      </c>
    </row>
    <row r="29" spans="1:42" x14ac:dyDescent="0.2">
      <c r="A29" s="1" t="s">
        <v>111</v>
      </c>
      <c r="B29" s="2">
        <v>1</v>
      </c>
      <c r="C29" s="3">
        <v>1</v>
      </c>
      <c r="D29" s="3">
        <v>1</v>
      </c>
      <c r="E29" s="3">
        <v>1</v>
      </c>
      <c r="F29" s="4">
        <v>1</v>
      </c>
      <c r="G29" s="2">
        <v>0</v>
      </c>
      <c r="H29" s="3">
        <v>0</v>
      </c>
      <c r="I29" s="3">
        <v>0</v>
      </c>
      <c r="J29" s="3">
        <v>0</v>
      </c>
      <c r="K29" s="4">
        <v>1</v>
      </c>
      <c r="L29" s="2">
        <v>0</v>
      </c>
      <c r="M29" s="3">
        <v>0</v>
      </c>
      <c r="N29" s="3">
        <v>0</v>
      </c>
      <c r="O29" s="3">
        <v>1</v>
      </c>
      <c r="P29" s="4">
        <v>0</v>
      </c>
      <c r="Q29" s="2">
        <v>0</v>
      </c>
      <c r="R29" s="3">
        <v>0</v>
      </c>
      <c r="S29" s="3">
        <v>1</v>
      </c>
      <c r="T29" s="3">
        <v>0</v>
      </c>
      <c r="U29" s="4">
        <v>0</v>
      </c>
      <c r="V29" s="2">
        <v>0</v>
      </c>
      <c r="W29" s="3">
        <v>1</v>
      </c>
      <c r="X29" s="3">
        <v>0</v>
      </c>
      <c r="Y29" s="3">
        <v>0</v>
      </c>
      <c r="Z29" s="4">
        <v>0</v>
      </c>
      <c r="AA29" s="2">
        <v>1</v>
      </c>
      <c r="AB29" s="3">
        <v>0</v>
      </c>
      <c r="AC29" s="3">
        <v>0</v>
      </c>
      <c r="AD29" s="3">
        <v>0</v>
      </c>
      <c r="AE29" s="4">
        <v>0</v>
      </c>
      <c r="AF29" s="2">
        <v>1</v>
      </c>
      <c r="AG29" s="3">
        <v>1</v>
      </c>
      <c r="AH29" s="3">
        <v>1</v>
      </c>
      <c r="AI29" s="3">
        <v>1</v>
      </c>
      <c r="AJ29" s="4">
        <v>1</v>
      </c>
      <c r="AK29" s="63">
        <v>23</v>
      </c>
      <c r="AL29" s="6">
        <v>1</v>
      </c>
      <c r="AM29" s="7">
        <v>0</v>
      </c>
      <c r="AN29" s="7">
        <v>1</v>
      </c>
      <c r="AO29" s="7">
        <v>1</v>
      </c>
      <c r="AP29" s="8">
        <v>1</v>
      </c>
    </row>
    <row r="31" spans="1:42" x14ac:dyDescent="0.2">
      <c r="A31" s="5" t="s">
        <v>112</v>
      </c>
    </row>
    <row r="32" spans="1:42" x14ac:dyDescent="0.2">
      <c r="B32" s="25" t="s">
        <v>113</v>
      </c>
    </row>
    <row r="33" spans="2:3" x14ac:dyDescent="0.2">
      <c r="B33" s="25" t="s">
        <v>114</v>
      </c>
    </row>
    <row r="34" spans="2:3" x14ac:dyDescent="0.2">
      <c r="B34" s="25" t="s">
        <v>115</v>
      </c>
    </row>
    <row r="36" spans="2:3" x14ac:dyDescent="0.2">
      <c r="B36" s="25" t="s">
        <v>116</v>
      </c>
    </row>
    <row r="37" spans="2:3" x14ac:dyDescent="0.2">
      <c r="B37" s="25" t="s">
        <v>27</v>
      </c>
    </row>
    <row r="38" spans="2:3" x14ac:dyDescent="0.2">
      <c r="B38" s="25" t="s">
        <v>117</v>
      </c>
    </row>
    <row r="40" spans="2:3" x14ac:dyDescent="0.2">
      <c r="B40" s="25" t="s">
        <v>118</v>
      </c>
    </row>
    <row r="41" spans="2:3" x14ac:dyDescent="0.2">
      <c r="C41" s="25" t="s">
        <v>119</v>
      </c>
    </row>
    <row r="42" spans="2:3" x14ac:dyDescent="0.2">
      <c r="C42" s="25" t="s">
        <v>120</v>
      </c>
    </row>
    <row r="44" spans="2:3" x14ac:dyDescent="0.2">
      <c r="B44" s="25" t="s">
        <v>121</v>
      </c>
    </row>
    <row r="45" spans="2:3" x14ac:dyDescent="0.2">
      <c r="B45" s="25" t="s">
        <v>71</v>
      </c>
    </row>
    <row r="56" spans="8:22" x14ac:dyDescent="0.2">
      <c r="H56" s="25" t="s">
        <v>122</v>
      </c>
      <c r="L56" s="25" t="s">
        <v>123</v>
      </c>
      <c r="V56" s="25" t="s">
        <v>124</v>
      </c>
    </row>
    <row r="57" spans="8:22" x14ac:dyDescent="0.2">
      <c r="H57" s="25" t="s">
        <v>125</v>
      </c>
      <c r="L57" s="25" t="s">
        <v>125</v>
      </c>
      <c r="V57" s="25" t="s">
        <v>127</v>
      </c>
    </row>
    <row r="58" spans="8:22" x14ac:dyDescent="0.2">
      <c r="H58" s="25" t="s">
        <v>126</v>
      </c>
    </row>
  </sheetData>
  <phoneticPr fontId="1"/>
  <pageMargins left="0.25" right="0.25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 filterMode="1"/>
  <dimension ref="A1:AR129"/>
  <sheetViews>
    <sheetView topLeftCell="A60" workbookViewId="0">
      <selection activeCell="W85" sqref="W85"/>
    </sheetView>
  </sheetViews>
  <sheetFormatPr defaultRowHeight="13.2" x14ac:dyDescent="0.2"/>
  <cols>
    <col min="1" max="37" width="2.21875" customWidth="1"/>
    <col min="38" max="38" width="3.44140625" customWidth="1"/>
    <col min="39" max="43" width="2.21875" customWidth="1"/>
  </cols>
  <sheetData>
    <row r="1" spans="1:43" x14ac:dyDescent="0.2">
      <c r="A1" s="69" t="s">
        <v>131</v>
      </c>
      <c r="B1" s="69"/>
      <c r="C1" s="69" t="s">
        <v>28</v>
      </c>
      <c r="D1" s="69"/>
      <c r="E1" s="69"/>
      <c r="F1" s="69"/>
      <c r="G1" s="69"/>
      <c r="H1" s="69"/>
      <c r="I1" s="69"/>
      <c r="J1" s="69"/>
      <c r="K1" s="69"/>
      <c r="L1" s="69"/>
      <c r="O1" s="62" t="s">
        <v>128</v>
      </c>
    </row>
    <row r="2" spans="1:43" x14ac:dyDescent="0.2">
      <c r="A2" t="s">
        <v>54</v>
      </c>
    </row>
    <row r="3" spans="1:43" x14ac:dyDescent="0.2">
      <c r="A3" s="25" t="s">
        <v>47</v>
      </c>
      <c r="T3" t="s">
        <v>77</v>
      </c>
      <c r="Y3" s="25" t="s">
        <v>31</v>
      </c>
      <c r="AE3" t="s">
        <v>78</v>
      </c>
    </row>
    <row r="4" spans="1:43" x14ac:dyDescent="0.2">
      <c r="A4" s="25" t="s">
        <v>29</v>
      </c>
      <c r="B4" s="25" t="s">
        <v>32</v>
      </c>
      <c r="AL4" s="65" t="s">
        <v>70</v>
      </c>
      <c r="AM4" s="25" t="s">
        <v>33</v>
      </c>
    </row>
    <row r="5" spans="1:43" x14ac:dyDescent="0.2">
      <c r="A5" s="9" t="s">
        <v>48</v>
      </c>
      <c r="B5" s="51" t="s">
        <v>0</v>
      </c>
      <c r="C5" s="52">
        <v>0</v>
      </c>
      <c r="D5" s="53">
        <v>0</v>
      </c>
      <c r="E5" s="53">
        <v>1</v>
      </c>
      <c r="F5" s="53">
        <v>0</v>
      </c>
      <c r="G5" s="54">
        <v>0</v>
      </c>
      <c r="H5" s="52">
        <v>0</v>
      </c>
      <c r="I5" s="53">
        <v>1</v>
      </c>
      <c r="J5" s="53">
        <v>0</v>
      </c>
      <c r="K5" s="53">
        <v>1</v>
      </c>
      <c r="L5" s="54">
        <v>0</v>
      </c>
      <c r="M5" s="52">
        <v>1</v>
      </c>
      <c r="N5" s="53">
        <v>0</v>
      </c>
      <c r="O5" s="53">
        <v>0</v>
      </c>
      <c r="P5" s="53">
        <v>0</v>
      </c>
      <c r="Q5" s="54">
        <v>1</v>
      </c>
      <c r="R5" s="52">
        <v>1</v>
      </c>
      <c r="S5" s="53">
        <v>0</v>
      </c>
      <c r="T5" s="53">
        <v>0</v>
      </c>
      <c r="U5" s="53">
        <v>0</v>
      </c>
      <c r="V5" s="54">
        <v>1</v>
      </c>
      <c r="W5" s="52">
        <v>1</v>
      </c>
      <c r="X5" s="53">
        <v>1</v>
      </c>
      <c r="Y5" s="53">
        <v>1</v>
      </c>
      <c r="Z5" s="53">
        <v>1</v>
      </c>
      <c r="AA5" s="54">
        <v>1</v>
      </c>
      <c r="AB5" s="52">
        <v>1</v>
      </c>
      <c r="AC5" s="53">
        <v>0</v>
      </c>
      <c r="AD5" s="53">
        <v>0</v>
      </c>
      <c r="AE5" s="53">
        <v>0</v>
      </c>
      <c r="AF5" s="54">
        <v>1</v>
      </c>
      <c r="AG5" s="52">
        <v>1</v>
      </c>
      <c r="AH5" s="53">
        <v>0</v>
      </c>
      <c r="AI5" s="53">
        <v>0</v>
      </c>
      <c r="AJ5" s="53">
        <v>0</v>
      </c>
      <c r="AK5" s="54">
        <v>1</v>
      </c>
      <c r="AL5" s="63">
        <v>1</v>
      </c>
      <c r="AM5" s="6">
        <v>0</v>
      </c>
      <c r="AN5" s="7">
        <v>0</v>
      </c>
      <c r="AO5" s="7">
        <v>0</v>
      </c>
      <c r="AP5" s="7">
        <v>0</v>
      </c>
      <c r="AQ5" s="8">
        <v>1</v>
      </c>
    </row>
    <row r="6" spans="1:43" x14ac:dyDescent="0.2">
      <c r="A6" s="9" t="s">
        <v>46</v>
      </c>
      <c r="B6" s="21" t="s">
        <v>1</v>
      </c>
      <c r="C6" s="22">
        <v>1</v>
      </c>
      <c r="D6" s="23">
        <v>1</v>
      </c>
      <c r="E6" s="23">
        <v>1</v>
      </c>
      <c r="F6" s="23">
        <v>1</v>
      </c>
      <c r="G6" s="24">
        <v>0</v>
      </c>
      <c r="H6" s="22">
        <v>1</v>
      </c>
      <c r="I6" s="23">
        <v>0</v>
      </c>
      <c r="J6" s="23">
        <v>0</v>
      </c>
      <c r="K6" s="23">
        <v>0</v>
      </c>
      <c r="L6" s="24">
        <v>1</v>
      </c>
      <c r="M6" s="22">
        <v>1</v>
      </c>
      <c r="N6" s="23">
        <v>0</v>
      </c>
      <c r="O6" s="23">
        <v>0</v>
      </c>
      <c r="P6" s="23">
        <v>0</v>
      </c>
      <c r="Q6" s="24">
        <v>1</v>
      </c>
      <c r="R6" s="22">
        <v>1</v>
      </c>
      <c r="S6" s="23">
        <v>1</v>
      </c>
      <c r="T6" s="23">
        <v>1</v>
      </c>
      <c r="U6" s="23">
        <v>1</v>
      </c>
      <c r="V6" s="24">
        <v>0</v>
      </c>
      <c r="W6" s="22">
        <v>1</v>
      </c>
      <c r="X6" s="23">
        <v>0</v>
      </c>
      <c r="Y6" s="23">
        <v>0</v>
      </c>
      <c r="Z6" s="23">
        <v>0</v>
      </c>
      <c r="AA6" s="24">
        <v>1</v>
      </c>
      <c r="AB6" s="22">
        <v>1</v>
      </c>
      <c r="AC6" s="23">
        <v>0</v>
      </c>
      <c r="AD6" s="23">
        <v>0</v>
      </c>
      <c r="AE6" s="23">
        <v>0</v>
      </c>
      <c r="AF6" s="24">
        <v>1</v>
      </c>
      <c r="AG6" s="22">
        <v>1</v>
      </c>
      <c r="AH6" s="23">
        <v>1</v>
      </c>
      <c r="AI6" s="23">
        <v>1</v>
      </c>
      <c r="AJ6" s="23">
        <v>1</v>
      </c>
      <c r="AK6" s="24">
        <v>0</v>
      </c>
      <c r="AL6" s="63">
        <v>21</v>
      </c>
      <c r="AM6" s="6">
        <v>1</v>
      </c>
      <c r="AN6" s="7">
        <v>0</v>
      </c>
      <c r="AO6" s="7">
        <v>1</v>
      </c>
      <c r="AP6" s="7">
        <v>0</v>
      </c>
      <c r="AQ6" s="4">
        <v>1</v>
      </c>
    </row>
    <row r="7" spans="1:43" x14ac:dyDescent="0.2">
      <c r="A7" s="9" t="s">
        <v>136</v>
      </c>
      <c r="B7" s="51" t="s">
        <v>2</v>
      </c>
      <c r="C7" s="52">
        <v>0</v>
      </c>
      <c r="D7" s="53">
        <v>1</v>
      </c>
      <c r="E7" s="53">
        <v>1</v>
      </c>
      <c r="F7" s="53">
        <v>1</v>
      </c>
      <c r="G7" s="54">
        <v>0</v>
      </c>
      <c r="H7" s="52">
        <v>1</v>
      </c>
      <c r="I7" s="53">
        <v>0</v>
      </c>
      <c r="J7" s="53">
        <v>0</v>
      </c>
      <c r="K7" s="53">
        <v>0</v>
      </c>
      <c r="L7" s="54">
        <v>1</v>
      </c>
      <c r="M7" s="52">
        <v>1</v>
      </c>
      <c r="N7" s="53">
        <v>0</v>
      </c>
      <c r="O7" s="53">
        <v>0</v>
      </c>
      <c r="P7" s="53">
        <v>0</v>
      </c>
      <c r="Q7" s="54">
        <v>0</v>
      </c>
      <c r="R7" s="52">
        <v>1</v>
      </c>
      <c r="S7" s="53">
        <v>0</v>
      </c>
      <c r="T7" s="53">
        <v>0</v>
      </c>
      <c r="U7" s="53">
        <v>0</v>
      </c>
      <c r="V7" s="54">
        <v>0</v>
      </c>
      <c r="W7" s="52">
        <v>1</v>
      </c>
      <c r="X7" s="53">
        <v>0</v>
      </c>
      <c r="Y7" s="53">
        <v>0</v>
      </c>
      <c r="Z7" s="53">
        <v>0</v>
      </c>
      <c r="AA7" s="54">
        <v>0</v>
      </c>
      <c r="AB7" s="52">
        <v>1</v>
      </c>
      <c r="AC7" s="53">
        <v>0</v>
      </c>
      <c r="AD7" s="53">
        <v>0</v>
      </c>
      <c r="AE7" s="53">
        <v>0</v>
      </c>
      <c r="AF7" s="54">
        <v>1</v>
      </c>
      <c r="AG7" s="52">
        <v>0</v>
      </c>
      <c r="AH7" s="53">
        <v>1</v>
      </c>
      <c r="AI7" s="53">
        <v>1</v>
      </c>
      <c r="AJ7" s="53">
        <v>1</v>
      </c>
      <c r="AK7" s="54">
        <v>0</v>
      </c>
      <c r="AL7" s="63">
        <v>5</v>
      </c>
      <c r="AM7" s="6">
        <v>0</v>
      </c>
      <c r="AN7" s="7">
        <v>0</v>
      </c>
      <c r="AO7" s="7">
        <v>1</v>
      </c>
      <c r="AP7" s="7">
        <v>0</v>
      </c>
      <c r="AQ7" s="4">
        <v>1</v>
      </c>
    </row>
    <row r="8" spans="1:43" x14ac:dyDescent="0.2">
      <c r="A8" s="9" t="s">
        <v>136</v>
      </c>
      <c r="B8" s="21" t="s">
        <v>3</v>
      </c>
      <c r="C8" s="22">
        <v>1</v>
      </c>
      <c r="D8" s="23">
        <v>1</v>
      </c>
      <c r="E8" s="23">
        <v>1</v>
      </c>
      <c r="F8" s="23">
        <v>1</v>
      </c>
      <c r="G8" s="24">
        <v>0</v>
      </c>
      <c r="H8" s="22">
        <v>1</v>
      </c>
      <c r="I8" s="23">
        <v>0</v>
      </c>
      <c r="J8" s="23">
        <v>0</v>
      </c>
      <c r="K8" s="23">
        <v>0</v>
      </c>
      <c r="L8" s="24">
        <v>1</v>
      </c>
      <c r="M8" s="22">
        <v>1</v>
      </c>
      <c r="N8" s="23">
        <v>0</v>
      </c>
      <c r="O8" s="23">
        <v>0</v>
      </c>
      <c r="P8" s="23">
        <v>0</v>
      </c>
      <c r="Q8" s="24">
        <v>1</v>
      </c>
      <c r="R8" s="22">
        <v>1</v>
      </c>
      <c r="S8" s="23">
        <v>0</v>
      </c>
      <c r="T8" s="23">
        <v>0</v>
      </c>
      <c r="U8" s="23">
        <v>0</v>
      </c>
      <c r="V8" s="24">
        <v>1</v>
      </c>
      <c r="W8" s="22">
        <v>1</v>
      </c>
      <c r="X8" s="23">
        <v>0</v>
      </c>
      <c r="Y8" s="23">
        <v>0</v>
      </c>
      <c r="Z8" s="23">
        <v>0</v>
      </c>
      <c r="AA8" s="24">
        <v>1</v>
      </c>
      <c r="AB8" s="22">
        <v>1</v>
      </c>
      <c r="AC8" s="23">
        <v>0</v>
      </c>
      <c r="AD8" s="23">
        <v>0</v>
      </c>
      <c r="AE8" s="23">
        <v>0</v>
      </c>
      <c r="AF8" s="24">
        <v>1</v>
      </c>
      <c r="AG8" s="22">
        <v>1</v>
      </c>
      <c r="AH8" s="23">
        <v>1</v>
      </c>
      <c r="AI8" s="23">
        <v>1</v>
      </c>
      <c r="AJ8" s="23">
        <v>1</v>
      </c>
      <c r="AK8" s="24">
        <v>0</v>
      </c>
      <c r="AL8" s="63">
        <v>19</v>
      </c>
      <c r="AM8" s="6">
        <v>1</v>
      </c>
      <c r="AN8" s="7">
        <v>0</v>
      </c>
      <c r="AO8" s="7">
        <v>0</v>
      </c>
      <c r="AP8" s="7">
        <v>1</v>
      </c>
      <c r="AQ8" s="8">
        <v>1</v>
      </c>
    </row>
    <row r="9" spans="1:43" hidden="1" x14ac:dyDescent="0.2">
      <c r="A9" s="9"/>
      <c r="B9" s="1" t="s">
        <v>4</v>
      </c>
      <c r="C9" s="2">
        <v>1</v>
      </c>
      <c r="D9" s="3">
        <v>1</v>
      </c>
      <c r="E9" s="3">
        <v>1</v>
      </c>
      <c r="F9" s="3">
        <v>1</v>
      </c>
      <c r="G9" s="4">
        <v>1</v>
      </c>
      <c r="H9" s="2">
        <v>1</v>
      </c>
      <c r="I9" s="3">
        <v>0</v>
      </c>
      <c r="J9" s="3">
        <v>0</v>
      </c>
      <c r="K9" s="3">
        <v>0</v>
      </c>
      <c r="L9" s="4">
        <v>0</v>
      </c>
      <c r="M9" s="2">
        <v>1</v>
      </c>
      <c r="N9" s="3">
        <v>0</v>
      </c>
      <c r="O9" s="3">
        <v>0</v>
      </c>
      <c r="P9" s="3">
        <v>0</v>
      </c>
      <c r="Q9" s="4">
        <v>0</v>
      </c>
      <c r="R9" s="2">
        <v>1</v>
      </c>
      <c r="S9" s="3">
        <v>1</v>
      </c>
      <c r="T9" s="3">
        <v>1</v>
      </c>
      <c r="U9" s="3">
        <v>1</v>
      </c>
      <c r="V9" s="4">
        <v>0</v>
      </c>
      <c r="W9" s="2">
        <v>1</v>
      </c>
      <c r="X9" s="3">
        <v>0</v>
      </c>
      <c r="Y9" s="3">
        <v>0</v>
      </c>
      <c r="Z9" s="3">
        <v>0</v>
      </c>
      <c r="AA9" s="4">
        <v>0</v>
      </c>
      <c r="AB9" s="2">
        <v>1</v>
      </c>
      <c r="AC9" s="3">
        <v>0</v>
      </c>
      <c r="AD9" s="3">
        <v>0</v>
      </c>
      <c r="AE9" s="3">
        <v>0</v>
      </c>
      <c r="AF9" s="4">
        <v>0</v>
      </c>
      <c r="AG9" s="2">
        <v>1</v>
      </c>
      <c r="AH9" s="3">
        <v>1</v>
      </c>
      <c r="AI9" s="3">
        <v>1</v>
      </c>
      <c r="AJ9" s="3">
        <v>1</v>
      </c>
      <c r="AK9" s="4">
        <v>1</v>
      </c>
      <c r="AL9" s="63">
        <v>26</v>
      </c>
      <c r="AM9" s="6">
        <v>1</v>
      </c>
      <c r="AN9" s="7">
        <v>1</v>
      </c>
      <c r="AO9" s="7">
        <v>0</v>
      </c>
      <c r="AP9" s="7">
        <v>1</v>
      </c>
      <c r="AQ9" s="8">
        <v>0</v>
      </c>
    </row>
    <row r="10" spans="1:43" hidden="1" x14ac:dyDescent="0.2">
      <c r="A10" s="9"/>
      <c r="B10" s="1" t="s">
        <v>5</v>
      </c>
      <c r="C10" s="2">
        <v>1</v>
      </c>
      <c r="D10" s="3">
        <v>1</v>
      </c>
      <c r="E10" s="3">
        <v>1</v>
      </c>
      <c r="F10" s="3">
        <v>1</v>
      </c>
      <c r="G10" s="4">
        <v>1</v>
      </c>
      <c r="H10" s="2">
        <v>1</v>
      </c>
      <c r="I10" s="3">
        <v>0</v>
      </c>
      <c r="J10" s="3">
        <v>0</v>
      </c>
      <c r="K10" s="3">
        <v>0</v>
      </c>
      <c r="L10" s="4">
        <v>0</v>
      </c>
      <c r="M10" s="2">
        <v>1</v>
      </c>
      <c r="N10" s="3">
        <v>0</v>
      </c>
      <c r="O10" s="3">
        <v>0</v>
      </c>
      <c r="P10" s="3">
        <v>0</v>
      </c>
      <c r="Q10" s="4">
        <v>0</v>
      </c>
      <c r="R10" s="2">
        <v>1</v>
      </c>
      <c r="S10" s="3">
        <v>1</v>
      </c>
      <c r="T10" s="3">
        <v>1</v>
      </c>
      <c r="U10" s="3">
        <v>1</v>
      </c>
      <c r="V10" s="4">
        <v>0</v>
      </c>
      <c r="W10" s="2">
        <v>1</v>
      </c>
      <c r="X10" s="3">
        <v>0</v>
      </c>
      <c r="Y10" s="3">
        <v>0</v>
      </c>
      <c r="Z10" s="3">
        <v>0</v>
      </c>
      <c r="AA10" s="4">
        <v>0</v>
      </c>
      <c r="AB10" s="2">
        <v>1</v>
      </c>
      <c r="AC10" s="3">
        <v>0</v>
      </c>
      <c r="AD10" s="3">
        <v>0</v>
      </c>
      <c r="AE10" s="3">
        <v>0</v>
      </c>
      <c r="AF10" s="4">
        <v>0</v>
      </c>
      <c r="AG10" s="2">
        <v>1</v>
      </c>
      <c r="AH10" s="3">
        <v>0</v>
      </c>
      <c r="AI10" s="3">
        <v>0</v>
      </c>
      <c r="AJ10" s="3">
        <v>0</v>
      </c>
      <c r="AK10" s="4">
        <v>0</v>
      </c>
      <c r="AL10" s="63">
        <v>25</v>
      </c>
      <c r="AM10" s="6">
        <v>1</v>
      </c>
      <c r="AN10" s="7">
        <v>1</v>
      </c>
      <c r="AO10" s="7">
        <v>0</v>
      </c>
      <c r="AP10" s="7">
        <v>0</v>
      </c>
      <c r="AQ10" s="8">
        <v>1</v>
      </c>
    </row>
    <row r="11" spans="1:43" hidden="1" x14ac:dyDescent="0.2">
      <c r="A11" s="9"/>
      <c r="B11" s="51" t="s">
        <v>6</v>
      </c>
      <c r="C11" s="52">
        <v>0</v>
      </c>
      <c r="D11" s="53">
        <v>1</v>
      </c>
      <c r="E11" s="53">
        <v>1</v>
      </c>
      <c r="F11" s="53">
        <v>1</v>
      </c>
      <c r="G11" s="54">
        <v>0</v>
      </c>
      <c r="H11" s="52">
        <v>1</v>
      </c>
      <c r="I11" s="53">
        <v>0</v>
      </c>
      <c r="J11" s="53">
        <v>0</v>
      </c>
      <c r="K11" s="53">
        <v>0</v>
      </c>
      <c r="L11" s="54">
        <v>1</v>
      </c>
      <c r="M11" s="52">
        <v>1</v>
      </c>
      <c r="N11" s="53">
        <v>0</v>
      </c>
      <c r="O11" s="53">
        <v>0</v>
      </c>
      <c r="P11" s="53">
        <v>0</v>
      </c>
      <c r="Q11" s="54">
        <v>0</v>
      </c>
      <c r="R11" s="52">
        <v>1</v>
      </c>
      <c r="S11" s="53">
        <v>0</v>
      </c>
      <c r="T11" s="53">
        <v>0</v>
      </c>
      <c r="U11" s="53">
        <v>0</v>
      </c>
      <c r="V11" s="54">
        <v>0</v>
      </c>
      <c r="W11" s="52">
        <v>1</v>
      </c>
      <c r="X11" s="53">
        <v>0</v>
      </c>
      <c r="Y11" s="53">
        <v>0</v>
      </c>
      <c r="Z11" s="53">
        <v>1</v>
      </c>
      <c r="AA11" s="54">
        <v>1</v>
      </c>
      <c r="AB11" s="52">
        <v>1</v>
      </c>
      <c r="AC11" s="53">
        <v>0</v>
      </c>
      <c r="AD11" s="53">
        <v>0</v>
      </c>
      <c r="AE11" s="53">
        <v>0</v>
      </c>
      <c r="AF11" s="54">
        <v>1</v>
      </c>
      <c r="AG11" s="52">
        <v>0</v>
      </c>
      <c r="AH11" s="53">
        <v>1</v>
      </c>
      <c r="AI11" s="53">
        <v>1</v>
      </c>
      <c r="AJ11" s="53">
        <v>1</v>
      </c>
      <c r="AK11" s="54">
        <v>0</v>
      </c>
      <c r="AL11" s="63">
        <v>6</v>
      </c>
      <c r="AM11" s="6">
        <v>0</v>
      </c>
      <c r="AN11" s="7">
        <v>0</v>
      </c>
      <c r="AO11" s="7">
        <v>1</v>
      </c>
      <c r="AP11" s="7">
        <v>1</v>
      </c>
      <c r="AQ11" s="8">
        <v>0</v>
      </c>
    </row>
    <row r="12" spans="1:43" hidden="1" x14ac:dyDescent="0.2">
      <c r="A12" s="9"/>
      <c r="B12" s="13" t="s">
        <v>7</v>
      </c>
      <c r="C12" s="14">
        <v>1</v>
      </c>
      <c r="D12" s="15">
        <v>0</v>
      </c>
      <c r="E12" s="15">
        <v>0</v>
      </c>
      <c r="F12" s="15">
        <v>0</v>
      </c>
      <c r="G12" s="16">
        <v>1</v>
      </c>
      <c r="H12" s="14">
        <v>1</v>
      </c>
      <c r="I12" s="15">
        <v>0</v>
      </c>
      <c r="J12" s="15">
        <v>0</v>
      </c>
      <c r="K12" s="15">
        <v>0</v>
      </c>
      <c r="L12" s="16">
        <v>1</v>
      </c>
      <c r="M12" s="14">
        <v>1</v>
      </c>
      <c r="N12" s="15">
        <v>0</v>
      </c>
      <c r="O12" s="15">
        <v>0</v>
      </c>
      <c r="P12" s="15">
        <v>0</v>
      </c>
      <c r="Q12" s="16">
        <v>1</v>
      </c>
      <c r="R12" s="14">
        <v>1</v>
      </c>
      <c r="S12" s="15">
        <v>1</v>
      </c>
      <c r="T12" s="15">
        <v>1</v>
      </c>
      <c r="U12" s="15">
        <v>1</v>
      </c>
      <c r="V12" s="16">
        <v>1</v>
      </c>
      <c r="W12" s="14">
        <v>1</v>
      </c>
      <c r="X12" s="15">
        <v>0</v>
      </c>
      <c r="Y12" s="15">
        <v>0</v>
      </c>
      <c r="Z12" s="15">
        <v>0</v>
      </c>
      <c r="AA12" s="16">
        <v>1</v>
      </c>
      <c r="AB12" s="14">
        <v>1</v>
      </c>
      <c r="AC12" s="15">
        <v>0</v>
      </c>
      <c r="AD12" s="15">
        <v>0</v>
      </c>
      <c r="AE12" s="15">
        <v>0</v>
      </c>
      <c r="AF12" s="16">
        <v>1</v>
      </c>
      <c r="AG12" s="14">
        <v>1</v>
      </c>
      <c r="AH12" s="15">
        <v>0</v>
      </c>
      <c r="AI12" s="15">
        <v>0</v>
      </c>
      <c r="AJ12" s="15">
        <v>0</v>
      </c>
      <c r="AK12" s="16">
        <v>1</v>
      </c>
      <c r="AL12" s="63">
        <v>15</v>
      </c>
      <c r="AM12" s="6">
        <v>0</v>
      </c>
      <c r="AN12" s="7">
        <v>1</v>
      </c>
      <c r="AO12" s="7">
        <v>1</v>
      </c>
      <c r="AP12" s="7">
        <v>1</v>
      </c>
      <c r="AQ12" s="8">
        <v>1</v>
      </c>
    </row>
    <row r="13" spans="1:43" hidden="1" x14ac:dyDescent="0.2">
      <c r="A13" s="9"/>
      <c r="B13" s="51" t="s">
        <v>8</v>
      </c>
      <c r="C13" s="52">
        <v>0</v>
      </c>
      <c r="D13" s="53">
        <v>1</v>
      </c>
      <c r="E13" s="53">
        <v>1</v>
      </c>
      <c r="F13" s="53">
        <v>1</v>
      </c>
      <c r="G13" s="54">
        <v>0</v>
      </c>
      <c r="H13" s="52">
        <v>0</v>
      </c>
      <c r="I13" s="53">
        <v>0</v>
      </c>
      <c r="J13" s="53">
        <v>1</v>
      </c>
      <c r="K13" s="53">
        <v>0</v>
      </c>
      <c r="L13" s="54">
        <v>0</v>
      </c>
      <c r="M13" s="52">
        <v>0</v>
      </c>
      <c r="N13" s="53">
        <v>0</v>
      </c>
      <c r="O13" s="53">
        <v>1</v>
      </c>
      <c r="P13" s="53">
        <v>0</v>
      </c>
      <c r="Q13" s="54">
        <v>0</v>
      </c>
      <c r="R13" s="52">
        <v>0</v>
      </c>
      <c r="S13" s="53">
        <v>0</v>
      </c>
      <c r="T13" s="53">
        <v>1</v>
      </c>
      <c r="U13" s="53">
        <v>0</v>
      </c>
      <c r="V13" s="54">
        <v>0</v>
      </c>
      <c r="W13" s="52">
        <v>0</v>
      </c>
      <c r="X13" s="53">
        <v>0</v>
      </c>
      <c r="Y13" s="53">
        <v>1</v>
      </c>
      <c r="Z13" s="53">
        <v>0</v>
      </c>
      <c r="AA13" s="54">
        <v>0</v>
      </c>
      <c r="AB13" s="52">
        <v>0</v>
      </c>
      <c r="AC13" s="53">
        <v>0</v>
      </c>
      <c r="AD13" s="53">
        <v>1</v>
      </c>
      <c r="AE13" s="53">
        <v>0</v>
      </c>
      <c r="AF13" s="54">
        <v>0</v>
      </c>
      <c r="AG13" s="52">
        <v>0</v>
      </c>
      <c r="AH13" s="53">
        <v>1</v>
      </c>
      <c r="AI13" s="53">
        <v>1</v>
      </c>
      <c r="AJ13" s="53">
        <v>1</v>
      </c>
      <c r="AK13" s="54">
        <v>0</v>
      </c>
      <c r="AL13" s="63">
        <v>2</v>
      </c>
      <c r="AM13" s="6">
        <v>0</v>
      </c>
      <c r="AN13" s="7">
        <v>0</v>
      </c>
      <c r="AO13" s="7">
        <v>0</v>
      </c>
      <c r="AP13" s="7">
        <v>1</v>
      </c>
      <c r="AQ13" s="8">
        <v>0</v>
      </c>
    </row>
    <row r="14" spans="1:43" hidden="1" x14ac:dyDescent="0.2">
      <c r="A14" s="9"/>
      <c r="B14" s="51" t="s">
        <v>9</v>
      </c>
      <c r="C14" s="52">
        <v>0</v>
      </c>
      <c r="D14" s="53">
        <v>1</v>
      </c>
      <c r="E14" s="53">
        <v>1</v>
      </c>
      <c r="F14" s="53">
        <v>1</v>
      </c>
      <c r="G14" s="54">
        <v>0</v>
      </c>
      <c r="H14" s="52">
        <v>0</v>
      </c>
      <c r="I14" s="53">
        <v>0</v>
      </c>
      <c r="J14" s="53">
        <v>1</v>
      </c>
      <c r="K14" s="53">
        <v>0</v>
      </c>
      <c r="L14" s="54">
        <v>0</v>
      </c>
      <c r="M14" s="52">
        <v>0</v>
      </c>
      <c r="N14" s="53">
        <v>0</v>
      </c>
      <c r="O14" s="53">
        <v>1</v>
      </c>
      <c r="P14" s="53">
        <v>0</v>
      </c>
      <c r="Q14" s="54">
        <v>0</v>
      </c>
      <c r="R14" s="52">
        <v>0</v>
      </c>
      <c r="S14" s="53">
        <v>0</v>
      </c>
      <c r="T14" s="53">
        <v>1</v>
      </c>
      <c r="U14" s="53">
        <v>0</v>
      </c>
      <c r="V14" s="54">
        <v>0</v>
      </c>
      <c r="W14" s="52">
        <v>0</v>
      </c>
      <c r="X14" s="53">
        <v>0</v>
      </c>
      <c r="Y14" s="53">
        <v>1</v>
      </c>
      <c r="Z14" s="53">
        <v>0</v>
      </c>
      <c r="AA14" s="54">
        <v>0</v>
      </c>
      <c r="AB14" s="52">
        <v>1</v>
      </c>
      <c r="AC14" s="53">
        <v>0</v>
      </c>
      <c r="AD14" s="53">
        <v>1</v>
      </c>
      <c r="AE14" s="53">
        <v>0</v>
      </c>
      <c r="AF14" s="54">
        <v>0</v>
      </c>
      <c r="AG14" s="52">
        <v>0</v>
      </c>
      <c r="AH14" s="53">
        <v>1</v>
      </c>
      <c r="AI14" s="53">
        <v>0</v>
      </c>
      <c r="AJ14" s="53">
        <v>0</v>
      </c>
      <c r="AK14" s="54">
        <v>0</v>
      </c>
      <c r="AL14" s="63">
        <v>3</v>
      </c>
      <c r="AM14" s="6">
        <v>0</v>
      </c>
      <c r="AN14" s="7">
        <v>0</v>
      </c>
      <c r="AO14" s="7">
        <v>0</v>
      </c>
      <c r="AP14" s="7">
        <v>1</v>
      </c>
      <c r="AQ14" s="8">
        <v>1</v>
      </c>
    </row>
    <row r="15" spans="1:43" hidden="1" x14ac:dyDescent="0.2">
      <c r="A15" s="9"/>
      <c r="B15" s="13" t="s">
        <v>10</v>
      </c>
      <c r="C15" s="14">
        <v>1</v>
      </c>
      <c r="D15" s="15">
        <v>0</v>
      </c>
      <c r="E15" s="15">
        <v>0</v>
      </c>
      <c r="F15" s="15">
        <v>0</v>
      </c>
      <c r="G15" s="16">
        <v>1</v>
      </c>
      <c r="H15" s="14">
        <v>1</v>
      </c>
      <c r="I15" s="15">
        <v>0</v>
      </c>
      <c r="J15" s="15">
        <v>0</v>
      </c>
      <c r="K15" s="15">
        <v>1</v>
      </c>
      <c r="L15" s="16">
        <v>0</v>
      </c>
      <c r="M15" s="14">
        <v>1</v>
      </c>
      <c r="N15" s="15">
        <v>0</v>
      </c>
      <c r="O15" s="15">
        <v>1</v>
      </c>
      <c r="P15" s="15">
        <v>0</v>
      </c>
      <c r="Q15" s="16">
        <v>0</v>
      </c>
      <c r="R15" s="14">
        <v>1</v>
      </c>
      <c r="S15" s="15">
        <v>1</v>
      </c>
      <c r="T15" s="15">
        <v>0</v>
      </c>
      <c r="U15" s="15">
        <v>0</v>
      </c>
      <c r="V15" s="16">
        <v>0</v>
      </c>
      <c r="W15" s="14">
        <v>1</v>
      </c>
      <c r="X15" s="15">
        <v>0</v>
      </c>
      <c r="Y15" s="15">
        <v>1</v>
      </c>
      <c r="Z15" s="15">
        <v>0</v>
      </c>
      <c r="AA15" s="16">
        <v>0</v>
      </c>
      <c r="AB15" s="14">
        <v>1</v>
      </c>
      <c r="AC15" s="15">
        <v>0</v>
      </c>
      <c r="AD15" s="15">
        <v>0</v>
      </c>
      <c r="AE15" s="15">
        <v>1</v>
      </c>
      <c r="AF15" s="16">
        <v>0</v>
      </c>
      <c r="AG15" s="14">
        <v>1</v>
      </c>
      <c r="AH15" s="15">
        <v>0</v>
      </c>
      <c r="AI15" s="15">
        <v>0</v>
      </c>
      <c r="AJ15" s="15">
        <v>0</v>
      </c>
      <c r="AK15" s="16">
        <v>1</v>
      </c>
      <c r="AL15" s="63">
        <v>16</v>
      </c>
      <c r="AM15" s="6">
        <v>1</v>
      </c>
      <c r="AN15" s="7">
        <v>0</v>
      </c>
      <c r="AO15" s="7">
        <v>0</v>
      </c>
      <c r="AP15" s="7">
        <v>0</v>
      </c>
      <c r="AQ15" s="8">
        <v>0</v>
      </c>
    </row>
    <row r="16" spans="1:43" hidden="1" x14ac:dyDescent="0.2">
      <c r="A16" s="9"/>
      <c r="B16" s="17" t="s">
        <v>11</v>
      </c>
      <c r="C16" s="18">
        <v>1</v>
      </c>
      <c r="D16" s="19">
        <v>0</v>
      </c>
      <c r="E16" s="19">
        <v>0</v>
      </c>
      <c r="F16" s="19">
        <v>0</v>
      </c>
      <c r="G16" s="20">
        <v>0</v>
      </c>
      <c r="H16" s="18">
        <v>1</v>
      </c>
      <c r="I16" s="19">
        <v>0</v>
      </c>
      <c r="J16" s="19">
        <v>0</v>
      </c>
      <c r="K16" s="19">
        <v>0</v>
      </c>
      <c r="L16" s="20">
        <v>0</v>
      </c>
      <c r="M16" s="18">
        <v>1</v>
      </c>
      <c r="N16" s="19">
        <v>0</v>
      </c>
      <c r="O16" s="19">
        <v>0</v>
      </c>
      <c r="P16" s="19">
        <v>0</v>
      </c>
      <c r="Q16" s="20">
        <v>0</v>
      </c>
      <c r="R16" s="18">
        <v>1</v>
      </c>
      <c r="S16" s="19">
        <v>0</v>
      </c>
      <c r="T16" s="19">
        <v>0</v>
      </c>
      <c r="U16" s="19">
        <v>0</v>
      </c>
      <c r="V16" s="20">
        <v>0</v>
      </c>
      <c r="W16" s="18">
        <v>1</v>
      </c>
      <c r="X16" s="19">
        <v>0</v>
      </c>
      <c r="Y16" s="19">
        <v>0</v>
      </c>
      <c r="Z16" s="19">
        <v>0</v>
      </c>
      <c r="AA16" s="20">
        <v>0</v>
      </c>
      <c r="AB16" s="18">
        <v>1</v>
      </c>
      <c r="AC16" s="19">
        <v>0</v>
      </c>
      <c r="AD16" s="19">
        <v>0</v>
      </c>
      <c r="AE16" s="19">
        <v>0</v>
      </c>
      <c r="AF16" s="20">
        <v>0</v>
      </c>
      <c r="AG16" s="18">
        <v>1</v>
      </c>
      <c r="AH16" s="19">
        <v>1</v>
      </c>
      <c r="AI16" s="19">
        <v>1</v>
      </c>
      <c r="AJ16" s="19">
        <v>1</v>
      </c>
      <c r="AK16" s="20">
        <v>1</v>
      </c>
      <c r="AL16" s="63">
        <v>9</v>
      </c>
      <c r="AM16" s="6">
        <v>0</v>
      </c>
      <c r="AN16" s="7">
        <v>1</v>
      </c>
      <c r="AO16" s="7">
        <v>0</v>
      </c>
      <c r="AP16" s="7">
        <v>0</v>
      </c>
      <c r="AQ16" s="8">
        <v>1</v>
      </c>
    </row>
    <row r="17" spans="1:43" hidden="1" x14ac:dyDescent="0.2">
      <c r="A17" s="9"/>
      <c r="B17" s="13" t="s">
        <v>12</v>
      </c>
      <c r="C17" s="14">
        <v>1</v>
      </c>
      <c r="D17" s="15">
        <v>0</v>
      </c>
      <c r="E17" s="15">
        <v>0</v>
      </c>
      <c r="F17" s="15">
        <v>0</v>
      </c>
      <c r="G17" s="16">
        <v>1</v>
      </c>
      <c r="H17" s="14">
        <v>1</v>
      </c>
      <c r="I17" s="15">
        <v>1</v>
      </c>
      <c r="J17" s="15">
        <v>0</v>
      </c>
      <c r="K17" s="15">
        <v>1</v>
      </c>
      <c r="L17" s="16">
        <v>1</v>
      </c>
      <c r="M17" s="14">
        <v>1</v>
      </c>
      <c r="N17" s="15">
        <v>0</v>
      </c>
      <c r="O17" s="15">
        <v>1</v>
      </c>
      <c r="P17" s="15">
        <v>0</v>
      </c>
      <c r="Q17" s="16">
        <v>1</v>
      </c>
      <c r="R17" s="14">
        <v>1</v>
      </c>
      <c r="S17" s="15">
        <v>0</v>
      </c>
      <c r="T17" s="15">
        <v>1</v>
      </c>
      <c r="U17" s="15">
        <v>0</v>
      </c>
      <c r="V17" s="16">
        <v>1</v>
      </c>
      <c r="W17" s="14">
        <v>1</v>
      </c>
      <c r="X17" s="15">
        <v>0</v>
      </c>
      <c r="Y17" s="15">
        <v>0</v>
      </c>
      <c r="Z17" s="15">
        <v>0</v>
      </c>
      <c r="AA17" s="16">
        <v>1</v>
      </c>
      <c r="AB17" s="14">
        <v>1</v>
      </c>
      <c r="AC17" s="15">
        <v>0</v>
      </c>
      <c r="AD17" s="15">
        <v>0</v>
      </c>
      <c r="AE17" s="15">
        <v>0</v>
      </c>
      <c r="AF17" s="16">
        <v>1</v>
      </c>
      <c r="AG17" s="14">
        <v>1</v>
      </c>
      <c r="AH17" s="15">
        <v>0</v>
      </c>
      <c r="AI17" s="15">
        <v>0</v>
      </c>
      <c r="AJ17" s="15">
        <v>0</v>
      </c>
      <c r="AK17" s="16">
        <v>1</v>
      </c>
      <c r="AL17" s="63">
        <v>18</v>
      </c>
      <c r="AM17" s="6">
        <v>1</v>
      </c>
      <c r="AN17" s="7">
        <v>0</v>
      </c>
      <c r="AO17" s="7">
        <v>0</v>
      </c>
      <c r="AP17" s="7">
        <v>1</v>
      </c>
      <c r="AQ17" s="8">
        <v>0</v>
      </c>
    </row>
    <row r="18" spans="1:43" hidden="1" x14ac:dyDescent="0.2">
      <c r="A18" s="9"/>
      <c r="B18" s="13" t="s">
        <v>13</v>
      </c>
      <c r="C18" s="14">
        <v>1</v>
      </c>
      <c r="D18" s="15">
        <v>0</v>
      </c>
      <c r="E18" s="15">
        <v>0</v>
      </c>
      <c r="F18" s="15">
        <v>0</v>
      </c>
      <c r="G18" s="16">
        <v>1</v>
      </c>
      <c r="H18" s="14">
        <v>1</v>
      </c>
      <c r="I18" s="15">
        <v>1</v>
      </c>
      <c r="J18" s="15">
        <v>0</v>
      </c>
      <c r="K18" s="15">
        <v>0</v>
      </c>
      <c r="L18" s="16">
        <v>1</v>
      </c>
      <c r="M18" s="14">
        <v>1</v>
      </c>
      <c r="N18" s="15">
        <v>0</v>
      </c>
      <c r="O18" s="15">
        <v>1</v>
      </c>
      <c r="P18" s="15">
        <v>0</v>
      </c>
      <c r="Q18" s="16">
        <v>1</v>
      </c>
      <c r="R18" s="14">
        <v>1</v>
      </c>
      <c r="S18" s="15">
        <v>0</v>
      </c>
      <c r="T18" s="15">
        <v>1</v>
      </c>
      <c r="U18" s="15">
        <v>0</v>
      </c>
      <c r="V18" s="16">
        <v>1</v>
      </c>
      <c r="W18" s="14">
        <v>1</v>
      </c>
      <c r="X18" s="15">
        <v>0</v>
      </c>
      <c r="Y18" s="15">
        <v>1</v>
      </c>
      <c r="Z18" s="15">
        <v>0</v>
      </c>
      <c r="AA18" s="16">
        <v>1</v>
      </c>
      <c r="AB18" s="14">
        <v>1</v>
      </c>
      <c r="AC18" s="15">
        <v>0</v>
      </c>
      <c r="AD18" s="15">
        <v>0</v>
      </c>
      <c r="AE18" s="15">
        <v>1</v>
      </c>
      <c r="AF18" s="16">
        <v>1</v>
      </c>
      <c r="AG18" s="14">
        <v>1</v>
      </c>
      <c r="AH18" s="15">
        <v>0</v>
      </c>
      <c r="AI18" s="15">
        <v>0</v>
      </c>
      <c r="AJ18" s="15">
        <v>0</v>
      </c>
      <c r="AK18" s="16">
        <v>1</v>
      </c>
      <c r="AL18" s="63">
        <v>17</v>
      </c>
      <c r="AM18" s="6">
        <v>1</v>
      </c>
      <c r="AN18" s="7">
        <v>0</v>
      </c>
      <c r="AO18" s="7">
        <v>0</v>
      </c>
      <c r="AP18" s="7">
        <v>0</v>
      </c>
      <c r="AQ18" s="8">
        <v>1</v>
      </c>
    </row>
    <row r="19" spans="1:43" hidden="1" x14ac:dyDescent="0.2">
      <c r="A19" s="9"/>
      <c r="B19" s="51" t="s">
        <v>14</v>
      </c>
      <c r="C19" s="52">
        <v>0</v>
      </c>
      <c r="D19" s="53">
        <v>1</v>
      </c>
      <c r="E19" s="53">
        <v>1</v>
      </c>
      <c r="F19" s="53">
        <v>1</v>
      </c>
      <c r="G19" s="54">
        <v>0</v>
      </c>
      <c r="H19" s="52">
        <v>1</v>
      </c>
      <c r="I19" s="53">
        <v>0</v>
      </c>
      <c r="J19" s="53">
        <v>0</v>
      </c>
      <c r="K19" s="53">
        <v>0</v>
      </c>
      <c r="L19" s="54">
        <v>1</v>
      </c>
      <c r="M19" s="52">
        <v>1</v>
      </c>
      <c r="N19" s="53">
        <v>0</v>
      </c>
      <c r="O19" s="53">
        <v>0</v>
      </c>
      <c r="P19" s="53">
        <v>0</v>
      </c>
      <c r="Q19" s="54">
        <v>1</v>
      </c>
      <c r="R19" s="52">
        <v>1</v>
      </c>
      <c r="S19" s="53">
        <v>0</v>
      </c>
      <c r="T19" s="53">
        <v>0</v>
      </c>
      <c r="U19" s="53">
        <v>0</v>
      </c>
      <c r="V19" s="54">
        <v>1</v>
      </c>
      <c r="W19" s="52">
        <v>1</v>
      </c>
      <c r="X19" s="53">
        <v>0</v>
      </c>
      <c r="Y19" s="53">
        <v>0</v>
      </c>
      <c r="Z19" s="53">
        <v>0</v>
      </c>
      <c r="AA19" s="54">
        <v>1</v>
      </c>
      <c r="AB19" s="52">
        <v>1</v>
      </c>
      <c r="AC19" s="53">
        <v>0</v>
      </c>
      <c r="AD19" s="53">
        <v>0</v>
      </c>
      <c r="AE19" s="53">
        <v>0</v>
      </c>
      <c r="AF19" s="54">
        <v>1</v>
      </c>
      <c r="AG19" s="52">
        <v>0</v>
      </c>
      <c r="AH19" s="53">
        <v>1</v>
      </c>
      <c r="AI19" s="53">
        <v>1</v>
      </c>
      <c r="AJ19" s="53">
        <v>1</v>
      </c>
      <c r="AK19" s="54">
        <v>0</v>
      </c>
      <c r="AL19" s="63">
        <v>7</v>
      </c>
      <c r="AM19" s="6">
        <v>0</v>
      </c>
      <c r="AN19" s="7">
        <v>0</v>
      </c>
      <c r="AO19" s="7">
        <v>1</v>
      </c>
      <c r="AP19" s="7">
        <v>1</v>
      </c>
      <c r="AQ19" s="8">
        <v>1</v>
      </c>
    </row>
    <row r="20" spans="1:43" hidden="1" x14ac:dyDescent="0.2">
      <c r="A20" s="9"/>
      <c r="B20" s="21" t="s">
        <v>15</v>
      </c>
      <c r="C20" s="22">
        <v>1</v>
      </c>
      <c r="D20" s="23">
        <v>1</v>
      </c>
      <c r="E20" s="23">
        <v>1</v>
      </c>
      <c r="F20" s="23">
        <v>1</v>
      </c>
      <c r="G20" s="24">
        <v>0</v>
      </c>
      <c r="H20" s="22">
        <v>1</v>
      </c>
      <c r="I20" s="23">
        <v>0</v>
      </c>
      <c r="J20" s="23">
        <v>0</v>
      </c>
      <c r="K20" s="23">
        <v>0</v>
      </c>
      <c r="L20" s="24">
        <v>1</v>
      </c>
      <c r="M20" s="22">
        <v>1</v>
      </c>
      <c r="N20" s="23">
        <v>0</v>
      </c>
      <c r="O20" s="23">
        <v>0</v>
      </c>
      <c r="P20" s="23">
        <v>0</v>
      </c>
      <c r="Q20" s="24">
        <v>1</v>
      </c>
      <c r="R20" s="22">
        <v>1</v>
      </c>
      <c r="S20" s="23">
        <v>1</v>
      </c>
      <c r="T20" s="23">
        <v>1</v>
      </c>
      <c r="U20" s="23">
        <v>1</v>
      </c>
      <c r="V20" s="24">
        <v>0</v>
      </c>
      <c r="W20" s="22">
        <v>1</v>
      </c>
      <c r="X20" s="23">
        <v>0</v>
      </c>
      <c r="Y20" s="23">
        <v>0</v>
      </c>
      <c r="Z20" s="23">
        <v>0</v>
      </c>
      <c r="AA20" s="24">
        <v>0</v>
      </c>
      <c r="AB20" s="22">
        <v>1</v>
      </c>
      <c r="AC20" s="23">
        <v>0</v>
      </c>
      <c r="AD20" s="23">
        <v>0</v>
      </c>
      <c r="AE20" s="23">
        <v>0</v>
      </c>
      <c r="AF20" s="24">
        <v>0</v>
      </c>
      <c r="AG20" s="22">
        <v>1</v>
      </c>
      <c r="AH20" s="23">
        <v>0</v>
      </c>
      <c r="AI20" s="23">
        <v>0</v>
      </c>
      <c r="AJ20" s="23">
        <v>0</v>
      </c>
      <c r="AK20" s="24">
        <v>0</v>
      </c>
      <c r="AL20" s="63">
        <v>20</v>
      </c>
      <c r="AM20" s="6">
        <v>1</v>
      </c>
      <c r="AN20" s="7">
        <v>0</v>
      </c>
      <c r="AO20" s="7">
        <v>1</v>
      </c>
      <c r="AP20" s="7">
        <v>0</v>
      </c>
      <c r="AQ20" s="8">
        <v>0</v>
      </c>
    </row>
    <row r="21" spans="1:43" hidden="1" x14ac:dyDescent="0.2">
      <c r="A21" s="9"/>
      <c r="B21" s="51" t="s">
        <v>16</v>
      </c>
      <c r="C21" s="52">
        <v>0</v>
      </c>
      <c r="D21" s="53">
        <v>1</v>
      </c>
      <c r="E21" s="53">
        <v>1</v>
      </c>
      <c r="F21" s="53">
        <v>1</v>
      </c>
      <c r="G21" s="54">
        <v>0</v>
      </c>
      <c r="H21" s="52">
        <v>1</v>
      </c>
      <c r="I21" s="53">
        <v>0</v>
      </c>
      <c r="J21" s="53">
        <v>0</v>
      </c>
      <c r="K21" s="53">
        <v>0</v>
      </c>
      <c r="L21" s="54">
        <v>1</v>
      </c>
      <c r="M21" s="52">
        <v>1</v>
      </c>
      <c r="N21" s="53">
        <v>0</v>
      </c>
      <c r="O21" s="53">
        <v>0</v>
      </c>
      <c r="P21" s="53">
        <v>0</v>
      </c>
      <c r="Q21" s="54">
        <v>1</v>
      </c>
      <c r="R21" s="52">
        <v>1</v>
      </c>
      <c r="S21" s="53">
        <v>0</v>
      </c>
      <c r="T21" s="53">
        <v>0</v>
      </c>
      <c r="U21" s="53">
        <v>0</v>
      </c>
      <c r="V21" s="54">
        <v>1</v>
      </c>
      <c r="W21" s="52">
        <v>1</v>
      </c>
      <c r="X21" s="53">
        <v>0</v>
      </c>
      <c r="Y21" s="53">
        <v>1</v>
      </c>
      <c r="Z21" s="53">
        <v>0</v>
      </c>
      <c r="AA21" s="54">
        <v>1</v>
      </c>
      <c r="AB21" s="52">
        <v>1</v>
      </c>
      <c r="AC21" s="53">
        <v>0</v>
      </c>
      <c r="AD21" s="53">
        <v>0</v>
      </c>
      <c r="AE21" s="53">
        <v>1</v>
      </c>
      <c r="AF21" s="54">
        <v>1</v>
      </c>
      <c r="AG21" s="52">
        <v>0</v>
      </c>
      <c r="AH21" s="53">
        <v>1</v>
      </c>
      <c r="AI21" s="53">
        <v>1</v>
      </c>
      <c r="AJ21" s="53">
        <v>1</v>
      </c>
      <c r="AK21" s="54">
        <v>0</v>
      </c>
      <c r="AL21" s="63">
        <v>8</v>
      </c>
      <c r="AM21" s="6">
        <v>0</v>
      </c>
      <c r="AN21" s="7">
        <v>1</v>
      </c>
      <c r="AO21" s="7">
        <v>0</v>
      </c>
      <c r="AP21" s="7">
        <v>0</v>
      </c>
      <c r="AQ21" s="8">
        <v>0</v>
      </c>
    </row>
    <row r="22" spans="1:43" hidden="1" x14ac:dyDescent="0.2">
      <c r="A22" s="9"/>
      <c r="B22" s="21" t="s">
        <v>17</v>
      </c>
      <c r="C22" s="22">
        <v>1</v>
      </c>
      <c r="D22" s="23">
        <v>1</v>
      </c>
      <c r="E22" s="23">
        <v>1</v>
      </c>
      <c r="F22" s="23">
        <v>1</v>
      </c>
      <c r="G22" s="24">
        <v>0</v>
      </c>
      <c r="H22" s="22">
        <v>1</v>
      </c>
      <c r="I22" s="23">
        <v>0</v>
      </c>
      <c r="J22" s="23">
        <v>0</v>
      </c>
      <c r="K22" s="23">
        <v>0</v>
      </c>
      <c r="L22" s="24">
        <v>1</v>
      </c>
      <c r="M22" s="22">
        <v>1</v>
      </c>
      <c r="N22" s="23">
        <v>0</v>
      </c>
      <c r="O22" s="23">
        <v>0</v>
      </c>
      <c r="P22" s="23">
        <v>0</v>
      </c>
      <c r="Q22" s="24">
        <v>1</v>
      </c>
      <c r="R22" s="22">
        <v>1</v>
      </c>
      <c r="S22" s="23">
        <v>1</v>
      </c>
      <c r="T22" s="23">
        <v>1</v>
      </c>
      <c r="U22" s="23">
        <v>1</v>
      </c>
      <c r="V22" s="24">
        <v>0</v>
      </c>
      <c r="W22" s="22">
        <v>1</v>
      </c>
      <c r="X22" s="23">
        <v>0</v>
      </c>
      <c r="Y22" s="23">
        <v>1</v>
      </c>
      <c r="Z22" s="23">
        <v>0</v>
      </c>
      <c r="AA22" s="24">
        <v>0</v>
      </c>
      <c r="AB22" s="22">
        <v>1</v>
      </c>
      <c r="AC22" s="23">
        <v>0</v>
      </c>
      <c r="AD22" s="23">
        <v>0</v>
      </c>
      <c r="AE22" s="23">
        <v>1</v>
      </c>
      <c r="AF22" s="24">
        <v>0</v>
      </c>
      <c r="AG22" s="22">
        <v>1</v>
      </c>
      <c r="AH22" s="23">
        <v>0</v>
      </c>
      <c r="AI22" s="23">
        <v>0</v>
      </c>
      <c r="AJ22" s="23">
        <v>0</v>
      </c>
      <c r="AK22" s="24">
        <v>1</v>
      </c>
      <c r="AL22" s="63">
        <v>22</v>
      </c>
      <c r="AM22" s="6">
        <v>1</v>
      </c>
      <c r="AN22" s="7">
        <v>0</v>
      </c>
      <c r="AO22" s="7">
        <v>1</v>
      </c>
      <c r="AP22" s="7">
        <v>1</v>
      </c>
      <c r="AQ22" s="8">
        <v>0</v>
      </c>
    </row>
    <row r="23" spans="1:43" hidden="1" x14ac:dyDescent="0.2">
      <c r="A23" s="9"/>
      <c r="B23" s="51" t="s">
        <v>18</v>
      </c>
      <c r="C23" s="52">
        <v>0</v>
      </c>
      <c r="D23" s="53">
        <v>1</v>
      </c>
      <c r="E23" s="53">
        <v>1</v>
      </c>
      <c r="F23" s="53">
        <v>1</v>
      </c>
      <c r="G23" s="54">
        <v>0</v>
      </c>
      <c r="H23" s="52">
        <v>1</v>
      </c>
      <c r="I23" s="53">
        <v>0</v>
      </c>
      <c r="J23" s="53">
        <v>0</v>
      </c>
      <c r="K23" s="53">
        <v>0</v>
      </c>
      <c r="L23" s="54">
        <v>1</v>
      </c>
      <c r="M23" s="52">
        <v>1</v>
      </c>
      <c r="N23" s="53">
        <v>0</v>
      </c>
      <c r="O23" s="53">
        <v>0</v>
      </c>
      <c r="P23" s="53">
        <v>0</v>
      </c>
      <c r="Q23" s="54">
        <v>0</v>
      </c>
      <c r="R23" s="52">
        <v>0</v>
      </c>
      <c r="S23" s="53">
        <v>1</v>
      </c>
      <c r="T23" s="53">
        <v>1</v>
      </c>
      <c r="U23" s="53">
        <v>1</v>
      </c>
      <c r="V23" s="54">
        <v>0</v>
      </c>
      <c r="W23" s="52">
        <v>0</v>
      </c>
      <c r="X23" s="53">
        <v>0</v>
      </c>
      <c r="Y23" s="53">
        <v>0</v>
      </c>
      <c r="Z23" s="53">
        <v>0</v>
      </c>
      <c r="AA23" s="54">
        <v>1</v>
      </c>
      <c r="AB23" s="52">
        <v>1</v>
      </c>
      <c r="AC23" s="53">
        <v>0</v>
      </c>
      <c r="AD23" s="53">
        <v>0</v>
      </c>
      <c r="AE23" s="53">
        <v>0</v>
      </c>
      <c r="AF23" s="54">
        <v>1</v>
      </c>
      <c r="AG23" s="52">
        <v>0</v>
      </c>
      <c r="AH23" s="53">
        <v>1</v>
      </c>
      <c r="AI23" s="53">
        <v>1</v>
      </c>
      <c r="AJ23" s="53">
        <v>1</v>
      </c>
      <c r="AK23" s="54">
        <v>0</v>
      </c>
      <c r="AL23" s="63">
        <v>4</v>
      </c>
      <c r="AM23" s="6">
        <v>0</v>
      </c>
      <c r="AN23" s="7">
        <v>0</v>
      </c>
      <c r="AO23" s="7">
        <v>1</v>
      </c>
      <c r="AP23" s="7">
        <v>0</v>
      </c>
      <c r="AQ23" s="8">
        <v>0</v>
      </c>
    </row>
    <row r="24" spans="1:43" hidden="1" x14ac:dyDescent="0.2">
      <c r="A24" s="9"/>
      <c r="B24" s="1" t="s">
        <v>19</v>
      </c>
      <c r="C24" s="2">
        <v>1</v>
      </c>
      <c r="D24" s="3">
        <v>1</v>
      </c>
      <c r="E24" s="3">
        <v>1</v>
      </c>
      <c r="F24" s="3">
        <v>1</v>
      </c>
      <c r="G24" s="4">
        <v>1</v>
      </c>
      <c r="H24" s="2">
        <v>0</v>
      </c>
      <c r="I24" s="3">
        <v>0</v>
      </c>
      <c r="J24" s="3">
        <v>1</v>
      </c>
      <c r="K24" s="3">
        <v>0</v>
      </c>
      <c r="L24" s="4">
        <v>0</v>
      </c>
      <c r="M24" s="2">
        <v>0</v>
      </c>
      <c r="N24" s="3">
        <v>0</v>
      </c>
      <c r="O24" s="3">
        <v>1</v>
      </c>
      <c r="P24" s="3">
        <v>0</v>
      </c>
      <c r="Q24" s="4">
        <v>0</v>
      </c>
      <c r="R24" s="2">
        <v>0</v>
      </c>
      <c r="S24" s="3">
        <v>0</v>
      </c>
      <c r="T24" s="3">
        <v>1</v>
      </c>
      <c r="U24" s="3">
        <v>0</v>
      </c>
      <c r="V24" s="4">
        <v>0</v>
      </c>
      <c r="W24" s="2">
        <v>0</v>
      </c>
      <c r="X24" s="3">
        <v>0</v>
      </c>
      <c r="Y24" s="3">
        <v>1</v>
      </c>
      <c r="Z24" s="3">
        <v>0</v>
      </c>
      <c r="AA24" s="4">
        <v>0</v>
      </c>
      <c r="AB24" s="2">
        <v>0</v>
      </c>
      <c r="AC24" s="3">
        <v>0</v>
      </c>
      <c r="AD24" s="3">
        <v>1</v>
      </c>
      <c r="AE24" s="3">
        <v>0</v>
      </c>
      <c r="AF24" s="4">
        <v>0</v>
      </c>
      <c r="AG24" s="2">
        <v>0</v>
      </c>
      <c r="AH24" s="3">
        <v>0</v>
      </c>
      <c r="AI24" s="3">
        <v>1</v>
      </c>
      <c r="AJ24" s="3">
        <v>0</v>
      </c>
      <c r="AK24" s="4">
        <v>0</v>
      </c>
      <c r="AL24" s="63">
        <v>24</v>
      </c>
      <c r="AM24" s="6">
        <v>1</v>
      </c>
      <c r="AN24" s="7">
        <v>1</v>
      </c>
      <c r="AO24" s="7">
        <v>0</v>
      </c>
      <c r="AP24" s="7">
        <v>0</v>
      </c>
      <c r="AQ24" s="8">
        <v>0</v>
      </c>
    </row>
    <row r="25" spans="1:43" hidden="1" x14ac:dyDescent="0.2">
      <c r="A25" s="9"/>
      <c r="B25" s="13" t="s">
        <v>20</v>
      </c>
      <c r="C25" s="14">
        <v>1</v>
      </c>
      <c r="D25" s="15">
        <v>0</v>
      </c>
      <c r="E25" s="15">
        <v>0</v>
      </c>
      <c r="F25" s="15">
        <v>0</v>
      </c>
      <c r="G25" s="16">
        <v>1</v>
      </c>
      <c r="H25" s="14">
        <v>1</v>
      </c>
      <c r="I25" s="15">
        <v>0</v>
      </c>
      <c r="J25" s="15">
        <v>0</v>
      </c>
      <c r="K25" s="15">
        <v>0</v>
      </c>
      <c r="L25" s="16">
        <v>1</v>
      </c>
      <c r="M25" s="14">
        <v>1</v>
      </c>
      <c r="N25" s="15">
        <v>0</v>
      </c>
      <c r="O25" s="15">
        <v>0</v>
      </c>
      <c r="P25" s="15">
        <v>0</v>
      </c>
      <c r="Q25" s="16">
        <v>1</v>
      </c>
      <c r="R25" s="14">
        <v>1</v>
      </c>
      <c r="S25" s="15">
        <v>0</v>
      </c>
      <c r="T25" s="15">
        <v>0</v>
      </c>
      <c r="U25" s="15">
        <v>0</v>
      </c>
      <c r="V25" s="16">
        <v>1</v>
      </c>
      <c r="W25" s="14">
        <v>1</v>
      </c>
      <c r="X25" s="15">
        <v>0</v>
      </c>
      <c r="Y25" s="15">
        <v>0</v>
      </c>
      <c r="Z25" s="15">
        <v>0</v>
      </c>
      <c r="AA25" s="16">
        <v>1</v>
      </c>
      <c r="AB25" s="14">
        <v>1</v>
      </c>
      <c r="AC25" s="15">
        <v>0</v>
      </c>
      <c r="AD25" s="15">
        <v>0</v>
      </c>
      <c r="AE25" s="15">
        <v>0</v>
      </c>
      <c r="AF25" s="16">
        <v>1</v>
      </c>
      <c r="AG25" s="14">
        <v>0</v>
      </c>
      <c r="AH25" s="15">
        <v>1</v>
      </c>
      <c r="AI25" s="15">
        <v>1</v>
      </c>
      <c r="AJ25" s="15">
        <v>1</v>
      </c>
      <c r="AK25" s="16">
        <v>0</v>
      </c>
      <c r="AL25" s="63">
        <v>13</v>
      </c>
      <c r="AM25" s="6">
        <v>0</v>
      </c>
      <c r="AN25" s="7">
        <v>1</v>
      </c>
      <c r="AO25" s="7">
        <v>1</v>
      </c>
      <c r="AP25" s="7">
        <v>0</v>
      </c>
      <c r="AQ25" s="4">
        <v>1</v>
      </c>
    </row>
    <row r="26" spans="1:43" hidden="1" x14ac:dyDescent="0.2">
      <c r="A26" s="9"/>
      <c r="B26" s="13" t="s">
        <v>21</v>
      </c>
      <c r="C26" s="14">
        <v>1</v>
      </c>
      <c r="D26" s="15">
        <v>0</v>
      </c>
      <c r="E26" s="15">
        <v>0</v>
      </c>
      <c r="F26" s="15">
        <v>0</v>
      </c>
      <c r="G26" s="16">
        <v>1</v>
      </c>
      <c r="H26" s="14">
        <v>1</v>
      </c>
      <c r="I26" s="15">
        <v>0</v>
      </c>
      <c r="J26" s="15">
        <v>0</v>
      </c>
      <c r="K26" s="15">
        <v>0</v>
      </c>
      <c r="L26" s="16">
        <v>1</v>
      </c>
      <c r="M26" s="14">
        <v>1</v>
      </c>
      <c r="N26" s="15">
        <v>0</v>
      </c>
      <c r="O26" s="15">
        <v>0</v>
      </c>
      <c r="P26" s="15">
        <v>0</v>
      </c>
      <c r="Q26" s="16">
        <v>1</v>
      </c>
      <c r="R26" s="14">
        <v>1</v>
      </c>
      <c r="S26" s="15">
        <v>0</v>
      </c>
      <c r="T26" s="15">
        <v>0</v>
      </c>
      <c r="U26" s="15">
        <v>0</v>
      </c>
      <c r="V26" s="16">
        <v>1</v>
      </c>
      <c r="W26" s="14">
        <v>1</v>
      </c>
      <c r="X26" s="15">
        <v>0</v>
      </c>
      <c r="Y26" s="15">
        <v>0</v>
      </c>
      <c r="Z26" s="15">
        <v>0</v>
      </c>
      <c r="AA26" s="16">
        <v>1</v>
      </c>
      <c r="AB26" s="14">
        <v>0</v>
      </c>
      <c r="AC26" s="15">
        <v>1</v>
      </c>
      <c r="AD26" s="15">
        <v>0</v>
      </c>
      <c r="AE26" s="15">
        <v>1</v>
      </c>
      <c r="AF26" s="16">
        <v>0</v>
      </c>
      <c r="AG26" s="14">
        <v>0</v>
      </c>
      <c r="AH26" s="15">
        <v>0</v>
      </c>
      <c r="AI26" s="15">
        <v>1</v>
      </c>
      <c r="AJ26" s="15">
        <v>0</v>
      </c>
      <c r="AK26" s="16">
        <v>0</v>
      </c>
      <c r="AL26" s="63">
        <v>12</v>
      </c>
      <c r="AM26" s="6">
        <v>0</v>
      </c>
      <c r="AN26" s="7">
        <v>1</v>
      </c>
      <c r="AO26" s="7">
        <v>1</v>
      </c>
      <c r="AP26" s="7">
        <v>0</v>
      </c>
      <c r="AQ26" s="8">
        <v>0</v>
      </c>
    </row>
    <row r="27" spans="1:43" hidden="1" x14ac:dyDescent="0.2">
      <c r="A27" s="9"/>
      <c r="B27" s="13" t="s">
        <v>22</v>
      </c>
      <c r="C27" s="14">
        <v>1</v>
      </c>
      <c r="D27" s="15">
        <v>0</v>
      </c>
      <c r="E27" s="15">
        <v>0</v>
      </c>
      <c r="F27" s="15">
        <v>0</v>
      </c>
      <c r="G27" s="16">
        <v>1</v>
      </c>
      <c r="H27" s="14">
        <v>1</v>
      </c>
      <c r="I27" s="15">
        <v>0</v>
      </c>
      <c r="J27" s="15">
        <v>0</v>
      </c>
      <c r="K27" s="15">
        <v>0</v>
      </c>
      <c r="L27" s="16">
        <v>1</v>
      </c>
      <c r="M27" s="14">
        <v>1</v>
      </c>
      <c r="N27" s="15">
        <v>0</v>
      </c>
      <c r="O27" s="15">
        <v>0</v>
      </c>
      <c r="P27" s="15">
        <v>0</v>
      </c>
      <c r="Q27" s="16">
        <v>1</v>
      </c>
      <c r="R27" s="14">
        <v>1</v>
      </c>
      <c r="S27" s="15">
        <v>0</v>
      </c>
      <c r="T27" s="15">
        <v>0</v>
      </c>
      <c r="U27" s="15">
        <v>0</v>
      </c>
      <c r="V27" s="16">
        <v>1</v>
      </c>
      <c r="W27" s="14">
        <v>1</v>
      </c>
      <c r="X27" s="15">
        <v>0</v>
      </c>
      <c r="Y27" s="15">
        <v>1</v>
      </c>
      <c r="Z27" s="15">
        <v>0</v>
      </c>
      <c r="AA27" s="16">
        <v>1</v>
      </c>
      <c r="AB27" s="14">
        <v>1</v>
      </c>
      <c r="AC27" s="15">
        <v>0</v>
      </c>
      <c r="AD27" s="15">
        <v>1</v>
      </c>
      <c r="AE27" s="15">
        <v>0</v>
      </c>
      <c r="AF27" s="16">
        <v>1</v>
      </c>
      <c r="AG27" s="14">
        <v>0</v>
      </c>
      <c r="AH27" s="15">
        <v>1</v>
      </c>
      <c r="AI27" s="15">
        <v>0</v>
      </c>
      <c r="AJ27" s="15">
        <v>1</v>
      </c>
      <c r="AK27" s="16">
        <v>0</v>
      </c>
      <c r="AL27" s="63">
        <v>14</v>
      </c>
      <c r="AM27" s="6">
        <v>0</v>
      </c>
      <c r="AN27" s="7">
        <v>1</v>
      </c>
      <c r="AO27" s="7">
        <v>1</v>
      </c>
      <c r="AP27" s="7">
        <v>1</v>
      </c>
      <c r="AQ27" s="8">
        <v>0</v>
      </c>
    </row>
    <row r="28" spans="1:43" hidden="1" x14ac:dyDescent="0.2">
      <c r="A28" s="9"/>
      <c r="B28" s="13" t="s">
        <v>23</v>
      </c>
      <c r="C28" s="14">
        <v>1</v>
      </c>
      <c r="D28" s="15">
        <v>0</v>
      </c>
      <c r="E28" s="15">
        <v>0</v>
      </c>
      <c r="F28" s="15">
        <v>0</v>
      </c>
      <c r="G28" s="16">
        <v>1</v>
      </c>
      <c r="H28" s="14">
        <v>1</v>
      </c>
      <c r="I28" s="15">
        <v>0</v>
      </c>
      <c r="J28" s="15">
        <v>0</v>
      </c>
      <c r="K28" s="15">
        <v>0</v>
      </c>
      <c r="L28" s="16">
        <v>1</v>
      </c>
      <c r="M28" s="14">
        <v>0</v>
      </c>
      <c r="N28" s="15">
        <v>1</v>
      </c>
      <c r="O28" s="15">
        <v>0</v>
      </c>
      <c r="P28" s="15">
        <v>1</v>
      </c>
      <c r="Q28" s="16">
        <v>0</v>
      </c>
      <c r="R28" s="14">
        <v>0</v>
      </c>
      <c r="S28" s="15">
        <v>0</v>
      </c>
      <c r="T28" s="15">
        <v>1</v>
      </c>
      <c r="U28" s="15">
        <v>0</v>
      </c>
      <c r="V28" s="16">
        <v>0</v>
      </c>
      <c r="W28" s="14">
        <v>0</v>
      </c>
      <c r="X28" s="15">
        <v>1</v>
      </c>
      <c r="Y28" s="15">
        <v>0</v>
      </c>
      <c r="Z28" s="15">
        <v>1</v>
      </c>
      <c r="AA28" s="16">
        <v>0</v>
      </c>
      <c r="AB28" s="14">
        <v>1</v>
      </c>
      <c r="AC28" s="15">
        <v>0</v>
      </c>
      <c r="AD28" s="15">
        <v>0</v>
      </c>
      <c r="AE28" s="15">
        <v>0</v>
      </c>
      <c r="AF28" s="16">
        <v>1</v>
      </c>
      <c r="AG28" s="14">
        <v>1</v>
      </c>
      <c r="AH28" s="15">
        <v>0</v>
      </c>
      <c r="AI28" s="15">
        <v>0</v>
      </c>
      <c r="AJ28" s="15">
        <v>0</v>
      </c>
      <c r="AK28" s="16">
        <v>1</v>
      </c>
      <c r="AL28" s="63">
        <v>11</v>
      </c>
      <c r="AM28" s="6">
        <v>0</v>
      </c>
      <c r="AN28" s="7">
        <v>1</v>
      </c>
      <c r="AO28" s="7">
        <v>0</v>
      </c>
      <c r="AP28" s="7">
        <v>1</v>
      </c>
      <c r="AQ28" s="8">
        <v>1</v>
      </c>
    </row>
    <row r="29" spans="1:43" hidden="1" x14ac:dyDescent="0.2">
      <c r="A29" s="9"/>
      <c r="B29" s="13" t="s">
        <v>24</v>
      </c>
      <c r="C29" s="14">
        <v>1</v>
      </c>
      <c r="D29" s="15">
        <v>0</v>
      </c>
      <c r="E29" s="15">
        <v>0</v>
      </c>
      <c r="F29" s="15">
        <v>0</v>
      </c>
      <c r="G29" s="16">
        <v>1</v>
      </c>
      <c r="H29" s="14">
        <v>1</v>
      </c>
      <c r="I29" s="15">
        <v>0</v>
      </c>
      <c r="J29" s="15">
        <v>0</v>
      </c>
      <c r="K29" s="15">
        <v>0</v>
      </c>
      <c r="L29" s="16">
        <v>1</v>
      </c>
      <c r="M29" s="14">
        <v>0</v>
      </c>
      <c r="N29" s="15">
        <v>1</v>
      </c>
      <c r="O29" s="15">
        <v>0</v>
      </c>
      <c r="P29" s="15">
        <v>1</v>
      </c>
      <c r="Q29" s="16">
        <v>0</v>
      </c>
      <c r="R29" s="14">
        <v>0</v>
      </c>
      <c r="S29" s="15">
        <v>0</v>
      </c>
      <c r="T29" s="15">
        <v>1</v>
      </c>
      <c r="U29" s="15">
        <v>0</v>
      </c>
      <c r="V29" s="16">
        <v>0</v>
      </c>
      <c r="W29" s="14">
        <v>0</v>
      </c>
      <c r="X29" s="15">
        <v>0</v>
      </c>
      <c r="Y29" s="15">
        <v>1</v>
      </c>
      <c r="Z29" s="15">
        <v>0</v>
      </c>
      <c r="AA29" s="16">
        <v>0</v>
      </c>
      <c r="AB29" s="14">
        <v>0</v>
      </c>
      <c r="AC29" s="15">
        <v>0</v>
      </c>
      <c r="AD29" s="15">
        <v>1</v>
      </c>
      <c r="AE29" s="15">
        <v>0</v>
      </c>
      <c r="AF29" s="16">
        <v>0</v>
      </c>
      <c r="AG29" s="14">
        <v>0</v>
      </c>
      <c r="AH29" s="15">
        <v>0</v>
      </c>
      <c r="AI29" s="15">
        <v>1</v>
      </c>
      <c r="AJ29" s="15">
        <v>0</v>
      </c>
      <c r="AK29" s="16">
        <v>0</v>
      </c>
      <c r="AL29" s="63">
        <v>10</v>
      </c>
      <c r="AM29" s="6">
        <v>0</v>
      </c>
      <c r="AN29" s="7">
        <v>1</v>
      </c>
      <c r="AO29" s="7">
        <v>0</v>
      </c>
      <c r="AP29" s="7">
        <v>1</v>
      </c>
      <c r="AQ29" s="8">
        <v>0</v>
      </c>
    </row>
    <row r="30" spans="1:43" hidden="1" x14ac:dyDescent="0.2">
      <c r="A30" s="9"/>
      <c r="B30" s="1" t="s">
        <v>25</v>
      </c>
      <c r="C30" s="2">
        <v>1</v>
      </c>
      <c r="D30" s="3">
        <v>1</v>
      </c>
      <c r="E30" s="3">
        <v>1</v>
      </c>
      <c r="F30" s="3">
        <v>1</v>
      </c>
      <c r="G30" s="4">
        <v>1</v>
      </c>
      <c r="H30" s="2">
        <v>0</v>
      </c>
      <c r="I30" s="3">
        <v>0</v>
      </c>
      <c r="J30" s="3">
        <v>0</v>
      </c>
      <c r="K30" s="3">
        <v>0</v>
      </c>
      <c r="L30" s="4">
        <v>1</v>
      </c>
      <c r="M30" s="2">
        <v>0</v>
      </c>
      <c r="N30" s="3">
        <v>0</v>
      </c>
      <c r="O30" s="3">
        <v>0</v>
      </c>
      <c r="P30" s="3">
        <v>1</v>
      </c>
      <c r="Q30" s="4">
        <v>0</v>
      </c>
      <c r="R30" s="2">
        <v>0</v>
      </c>
      <c r="S30" s="3">
        <v>0</v>
      </c>
      <c r="T30" s="3">
        <v>1</v>
      </c>
      <c r="U30" s="3">
        <v>0</v>
      </c>
      <c r="V30" s="4">
        <v>0</v>
      </c>
      <c r="W30" s="2">
        <v>0</v>
      </c>
      <c r="X30" s="3">
        <v>1</v>
      </c>
      <c r="Y30" s="3">
        <v>0</v>
      </c>
      <c r="Z30" s="3">
        <v>0</v>
      </c>
      <c r="AA30" s="4">
        <v>0</v>
      </c>
      <c r="AB30" s="2">
        <v>1</v>
      </c>
      <c r="AC30" s="3">
        <v>0</v>
      </c>
      <c r="AD30" s="3">
        <v>0</v>
      </c>
      <c r="AE30" s="3">
        <v>0</v>
      </c>
      <c r="AF30" s="4">
        <v>0</v>
      </c>
      <c r="AG30" s="2">
        <v>1</v>
      </c>
      <c r="AH30" s="3">
        <v>1</v>
      </c>
      <c r="AI30" s="3">
        <v>1</v>
      </c>
      <c r="AJ30" s="3">
        <v>1</v>
      </c>
      <c r="AK30" s="4">
        <v>1</v>
      </c>
      <c r="AL30" s="63">
        <v>23</v>
      </c>
      <c r="AM30" s="6">
        <v>1</v>
      </c>
      <c r="AN30" s="7">
        <v>0</v>
      </c>
      <c r="AO30" s="7">
        <v>1</v>
      </c>
      <c r="AP30" s="7">
        <v>1</v>
      </c>
      <c r="AQ30" s="8">
        <v>1</v>
      </c>
    </row>
    <row r="31" spans="1:43" x14ac:dyDescent="0.2">
      <c r="AL31" s="64"/>
    </row>
    <row r="32" spans="1:43" x14ac:dyDescent="0.2">
      <c r="A32" s="25" t="s">
        <v>52</v>
      </c>
      <c r="W32" t="s">
        <v>58</v>
      </c>
      <c r="AD32" s="73">
        <v>4</v>
      </c>
      <c r="AE32" s="74"/>
      <c r="AF32" s="74"/>
      <c r="AG32" s="74"/>
      <c r="AH32" s="75"/>
      <c r="AM32" t="s">
        <v>62</v>
      </c>
    </row>
    <row r="33" spans="1:43" s="25" customFormat="1" x14ac:dyDescent="0.2">
      <c r="B33" s="25" t="s">
        <v>57</v>
      </c>
      <c r="AL33" s="64"/>
      <c r="AM33" s="25" t="s">
        <v>63</v>
      </c>
    </row>
    <row r="34" spans="1:43" x14ac:dyDescent="0.2">
      <c r="A34" s="55"/>
      <c r="B34" s="28" t="s">
        <v>133</v>
      </c>
      <c r="C34" s="56">
        <v>0</v>
      </c>
      <c r="D34" s="57">
        <v>0</v>
      </c>
      <c r="E34" s="57">
        <v>1</v>
      </c>
      <c r="F34" s="57">
        <v>0</v>
      </c>
      <c r="G34" s="58">
        <v>0</v>
      </c>
      <c r="H34" s="56">
        <v>0</v>
      </c>
      <c r="I34" s="57">
        <v>1</v>
      </c>
      <c r="J34" s="57">
        <v>0</v>
      </c>
      <c r="K34" s="57">
        <v>1</v>
      </c>
      <c r="L34" s="58">
        <v>0</v>
      </c>
      <c r="M34" s="56">
        <v>1</v>
      </c>
      <c r="N34" s="57">
        <v>0</v>
      </c>
      <c r="O34" s="57">
        <v>0</v>
      </c>
      <c r="P34" s="57">
        <v>0</v>
      </c>
      <c r="Q34" s="58">
        <v>1</v>
      </c>
      <c r="R34" s="56">
        <v>1</v>
      </c>
      <c r="S34" s="57">
        <v>0</v>
      </c>
      <c r="T34" s="57">
        <v>0</v>
      </c>
      <c r="U34" s="57">
        <v>0</v>
      </c>
      <c r="V34" s="58">
        <v>1</v>
      </c>
      <c r="W34" s="56">
        <v>1</v>
      </c>
      <c r="X34" s="57">
        <v>1</v>
      </c>
      <c r="Y34" s="57">
        <v>1</v>
      </c>
      <c r="Z34" s="57">
        <v>1</v>
      </c>
      <c r="AA34" s="58">
        <v>1</v>
      </c>
      <c r="AB34" s="56">
        <v>1</v>
      </c>
      <c r="AC34" s="57">
        <v>0</v>
      </c>
      <c r="AD34" s="57">
        <v>0</v>
      </c>
      <c r="AE34" s="57">
        <v>0</v>
      </c>
      <c r="AF34" s="58">
        <v>1</v>
      </c>
      <c r="AG34" s="56">
        <v>1</v>
      </c>
      <c r="AH34" s="57">
        <v>0</v>
      </c>
      <c r="AI34" s="57">
        <v>0</v>
      </c>
      <c r="AJ34" s="57">
        <v>0</v>
      </c>
      <c r="AK34" s="58">
        <v>1</v>
      </c>
      <c r="AL34" s="63">
        <v>1</v>
      </c>
      <c r="AM34" s="56">
        <v>0</v>
      </c>
      <c r="AN34" s="57">
        <v>0</v>
      </c>
      <c r="AO34" s="57">
        <v>0</v>
      </c>
      <c r="AP34" s="57">
        <v>0</v>
      </c>
      <c r="AQ34" s="58">
        <v>1</v>
      </c>
    </row>
    <row r="35" spans="1:43" x14ac:dyDescent="0.2">
      <c r="A35" s="55"/>
      <c r="B35" s="28" t="s">
        <v>134</v>
      </c>
      <c r="C35" s="56">
        <v>1</v>
      </c>
      <c r="D35" s="57">
        <v>1</v>
      </c>
      <c r="E35" s="57">
        <v>1</v>
      </c>
      <c r="F35" s="57">
        <v>1</v>
      </c>
      <c r="G35" s="58">
        <v>0</v>
      </c>
      <c r="H35" s="56">
        <v>1</v>
      </c>
      <c r="I35" s="57">
        <v>0</v>
      </c>
      <c r="J35" s="57">
        <v>0</v>
      </c>
      <c r="K35" s="57">
        <v>0</v>
      </c>
      <c r="L35" s="58">
        <v>1</v>
      </c>
      <c r="M35" s="56">
        <v>1</v>
      </c>
      <c r="N35" s="57">
        <v>0</v>
      </c>
      <c r="O35" s="57">
        <v>0</v>
      </c>
      <c r="P35" s="57">
        <v>0</v>
      </c>
      <c r="Q35" s="58">
        <v>1</v>
      </c>
      <c r="R35" s="56">
        <v>1</v>
      </c>
      <c r="S35" s="57">
        <v>1</v>
      </c>
      <c r="T35" s="57">
        <v>1</v>
      </c>
      <c r="U35" s="57">
        <v>1</v>
      </c>
      <c r="V35" s="58">
        <v>0</v>
      </c>
      <c r="W35" s="56">
        <v>1</v>
      </c>
      <c r="X35" s="57">
        <v>0</v>
      </c>
      <c r="Y35" s="57">
        <v>0</v>
      </c>
      <c r="Z35" s="57">
        <v>0</v>
      </c>
      <c r="AA35" s="58">
        <v>1</v>
      </c>
      <c r="AB35" s="56">
        <v>1</v>
      </c>
      <c r="AC35" s="57">
        <v>0</v>
      </c>
      <c r="AD35" s="57">
        <v>0</v>
      </c>
      <c r="AE35" s="57">
        <v>0</v>
      </c>
      <c r="AF35" s="58">
        <v>1</v>
      </c>
      <c r="AG35" s="56">
        <v>1</v>
      </c>
      <c r="AH35" s="57">
        <v>1</v>
      </c>
      <c r="AI35" s="57">
        <v>1</v>
      </c>
      <c r="AJ35" s="57">
        <v>1</v>
      </c>
      <c r="AK35" s="58">
        <v>0</v>
      </c>
      <c r="AL35" s="63">
        <v>21</v>
      </c>
      <c r="AM35" s="56">
        <v>1</v>
      </c>
      <c r="AN35" s="57">
        <v>0</v>
      </c>
      <c r="AO35" s="57">
        <v>1</v>
      </c>
      <c r="AP35" s="57">
        <v>0</v>
      </c>
      <c r="AQ35" s="59">
        <v>1</v>
      </c>
    </row>
    <row r="36" spans="1:43" x14ac:dyDescent="0.2">
      <c r="A36" s="55"/>
      <c r="B36" s="28" t="s">
        <v>137</v>
      </c>
      <c r="C36" s="56">
        <v>0</v>
      </c>
      <c r="D36" s="57">
        <v>1</v>
      </c>
      <c r="E36" s="57">
        <v>1</v>
      </c>
      <c r="F36" s="57">
        <v>1</v>
      </c>
      <c r="G36" s="58">
        <v>0</v>
      </c>
      <c r="H36" s="56">
        <v>1</v>
      </c>
      <c r="I36" s="57">
        <v>0</v>
      </c>
      <c r="J36" s="57">
        <v>0</v>
      </c>
      <c r="K36" s="57">
        <v>0</v>
      </c>
      <c r="L36" s="58">
        <v>1</v>
      </c>
      <c r="M36" s="56">
        <v>1</v>
      </c>
      <c r="N36" s="57">
        <v>0</v>
      </c>
      <c r="O36" s="57">
        <v>0</v>
      </c>
      <c r="P36" s="57">
        <v>0</v>
      </c>
      <c r="Q36" s="58">
        <v>0</v>
      </c>
      <c r="R36" s="56">
        <v>1</v>
      </c>
      <c r="S36" s="57">
        <v>0</v>
      </c>
      <c r="T36" s="57">
        <v>0</v>
      </c>
      <c r="U36" s="57">
        <v>0</v>
      </c>
      <c r="V36" s="58">
        <v>0</v>
      </c>
      <c r="W36" s="56">
        <v>1</v>
      </c>
      <c r="X36" s="57">
        <v>0</v>
      </c>
      <c r="Y36" s="57">
        <v>0</v>
      </c>
      <c r="Z36" s="57">
        <v>0</v>
      </c>
      <c r="AA36" s="58">
        <v>0</v>
      </c>
      <c r="AB36" s="56">
        <v>1</v>
      </c>
      <c r="AC36" s="57">
        <v>0</v>
      </c>
      <c r="AD36" s="57">
        <v>0</v>
      </c>
      <c r="AE36" s="57">
        <v>0</v>
      </c>
      <c r="AF36" s="58">
        <v>1</v>
      </c>
      <c r="AG36" s="56">
        <v>0</v>
      </c>
      <c r="AH36" s="57">
        <v>1</v>
      </c>
      <c r="AI36" s="57">
        <v>1</v>
      </c>
      <c r="AJ36" s="57">
        <v>1</v>
      </c>
      <c r="AK36" s="58">
        <v>0</v>
      </c>
      <c r="AL36" s="63">
        <v>5</v>
      </c>
      <c r="AM36" s="56">
        <v>0</v>
      </c>
      <c r="AN36" s="57">
        <v>0</v>
      </c>
      <c r="AO36" s="57">
        <v>1</v>
      </c>
      <c r="AP36" s="57">
        <v>0</v>
      </c>
      <c r="AQ36" s="59">
        <v>1</v>
      </c>
    </row>
    <row r="37" spans="1:43" x14ac:dyDescent="0.2">
      <c r="A37" s="55"/>
      <c r="B37" s="28" t="s">
        <v>138</v>
      </c>
      <c r="C37" s="56">
        <v>1</v>
      </c>
      <c r="D37" s="57">
        <v>1</v>
      </c>
      <c r="E37" s="57">
        <v>1</v>
      </c>
      <c r="F37" s="57">
        <v>1</v>
      </c>
      <c r="G37" s="58">
        <v>0</v>
      </c>
      <c r="H37" s="56">
        <v>1</v>
      </c>
      <c r="I37" s="57">
        <v>0</v>
      </c>
      <c r="J37" s="57">
        <v>0</v>
      </c>
      <c r="K37" s="57">
        <v>0</v>
      </c>
      <c r="L37" s="58">
        <v>1</v>
      </c>
      <c r="M37" s="56">
        <v>1</v>
      </c>
      <c r="N37" s="57">
        <v>0</v>
      </c>
      <c r="O37" s="57">
        <v>0</v>
      </c>
      <c r="P37" s="57">
        <v>0</v>
      </c>
      <c r="Q37" s="58">
        <v>1</v>
      </c>
      <c r="R37" s="56">
        <v>1</v>
      </c>
      <c r="S37" s="57">
        <v>0</v>
      </c>
      <c r="T37" s="57">
        <v>0</v>
      </c>
      <c r="U37" s="57">
        <v>0</v>
      </c>
      <c r="V37" s="58">
        <v>1</v>
      </c>
      <c r="W37" s="56">
        <v>1</v>
      </c>
      <c r="X37" s="57">
        <v>0</v>
      </c>
      <c r="Y37" s="57">
        <v>0</v>
      </c>
      <c r="Z37" s="57">
        <v>0</v>
      </c>
      <c r="AA37" s="58">
        <v>1</v>
      </c>
      <c r="AB37" s="56">
        <v>1</v>
      </c>
      <c r="AC37" s="57">
        <v>0</v>
      </c>
      <c r="AD37" s="57">
        <v>0</v>
      </c>
      <c r="AE37" s="57">
        <v>0</v>
      </c>
      <c r="AF37" s="58">
        <v>1</v>
      </c>
      <c r="AG37" s="56">
        <v>1</v>
      </c>
      <c r="AH37" s="57">
        <v>1</v>
      </c>
      <c r="AI37" s="57">
        <v>1</v>
      </c>
      <c r="AJ37" s="57">
        <v>1</v>
      </c>
      <c r="AK37" s="58">
        <v>0</v>
      </c>
      <c r="AL37" s="63">
        <v>19</v>
      </c>
      <c r="AM37" s="56">
        <v>1</v>
      </c>
      <c r="AN37" s="57">
        <v>0</v>
      </c>
      <c r="AO37" s="57">
        <v>0</v>
      </c>
      <c r="AP37" s="57">
        <v>1</v>
      </c>
      <c r="AQ37" s="58">
        <v>1</v>
      </c>
    </row>
    <row r="38" spans="1:43" x14ac:dyDescent="0.2">
      <c r="A38" s="55"/>
      <c r="B38" s="28"/>
      <c r="C38" s="56"/>
      <c r="D38" s="57"/>
      <c r="E38" s="57"/>
      <c r="F38" s="57"/>
      <c r="G38" s="58"/>
      <c r="H38" s="56"/>
      <c r="I38" s="57"/>
      <c r="J38" s="57"/>
      <c r="K38" s="57"/>
      <c r="L38" s="58"/>
      <c r="M38" s="56"/>
      <c r="N38" s="57"/>
      <c r="O38" s="57"/>
      <c r="P38" s="57"/>
      <c r="Q38" s="58"/>
      <c r="R38" s="56"/>
      <c r="S38" s="57"/>
      <c r="T38" s="57"/>
      <c r="U38" s="57"/>
      <c r="V38" s="58"/>
      <c r="W38" s="56"/>
      <c r="X38" s="57"/>
      <c r="Y38" s="57"/>
      <c r="Z38" s="57"/>
      <c r="AA38" s="58"/>
      <c r="AB38" s="56"/>
      <c r="AC38" s="57"/>
      <c r="AD38" s="57"/>
      <c r="AE38" s="57"/>
      <c r="AF38" s="58"/>
      <c r="AG38" s="56"/>
      <c r="AH38" s="57"/>
      <c r="AI38" s="57"/>
      <c r="AJ38" s="57"/>
      <c r="AK38" s="58"/>
      <c r="AL38" s="63"/>
      <c r="AM38" s="56"/>
      <c r="AN38" s="57"/>
      <c r="AO38" s="57"/>
      <c r="AP38" s="57"/>
      <c r="AQ38" s="58"/>
    </row>
    <row r="39" spans="1:43" x14ac:dyDescent="0.2">
      <c r="A39" s="55"/>
      <c r="B39" s="28"/>
      <c r="C39" s="56"/>
      <c r="D39" s="57"/>
      <c r="E39" s="57"/>
      <c r="F39" s="57"/>
      <c r="G39" s="58"/>
      <c r="H39" s="56"/>
      <c r="I39" s="57"/>
      <c r="J39" s="57"/>
      <c r="K39" s="57"/>
      <c r="L39" s="58"/>
      <c r="M39" s="56"/>
      <c r="N39" s="57"/>
      <c r="O39" s="57"/>
      <c r="P39" s="57"/>
      <c r="Q39" s="58"/>
      <c r="R39" s="56"/>
      <c r="S39" s="57"/>
      <c r="T39" s="57"/>
      <c r="U39" s="57"/>
      <c r="V39" s="58"/>
      <c r="W39" s="56"/>
      <c r="X39" s="57"/>
      <c r="Y39" s="57"/>
      <c r="Z39" s="57"/>
      <c r="AA39" s="58"/>
      <c r="AB39" s="56"/>
      <c r="AC39" s="57"/>
      <c r="AD39" s="57"/>
      <c r="AE39" s="57"/>
      <c r="AF39" s="58"/>
      <c r="AG39" s="56"/>
      <c r="AH39" s="57"/>
      <c r="AI39" s="57"/>
      <c r="AJ39" s="57"/>
      <c r="AK39" s="58"/>
      <c r="AL39" s="63"/>
      <c r="AM39" s="56"/>
      <c r="AN39" s="57"/>
      <c r="AO39" s="57"/>
      <c r="AP39" s="57"/>
      <c r="AQ39" s="58"/>
    </row>
    <row r="40" spans="1:43" x14ac:dyDescent="0.2">
      <c r="A40" s="55"/>
      <c r="B40" s="28"/>
      <c r="C40" s="56"/>
      <c r="D40" s="57"/>
      <c r="E40" s="57"/>
      <c r="F40" s="57"/>
      <c r="G40" s="58"/>
      <c r="H40" s="56"/>
      <c r="I40" s="57"/>
      <c r="J40" s="57"/>
      <c r="K40" s="57"/>
      <c r="L40" s="58"/>
      <c r="M40" s="56"/>
      <c r="N40" s="57"/>
      <c r="O40" s="57"/>
      <c r="P40" s="57"/>
      <c r="Q40" s="58"/>
      <c r="R40" s="56"/>
      <c r="S40" s="57"/>
      <c r="T40" s="57"/>
      <c r="U40" s="57"/>
      <c r="V40" s="58"/>
      <c r="W40" s="56"/>
      <c r="X40" s="57"/>
      <c r="Y40" s="57"/>
      <c r="Z40" s="57"/>
      <c r="AA40" s="58"/>
      <c r="AB40" s="56"/>
      <c r="AC40" s="57"/>
      <c r="AD40" s="57"/>
      <c r="AE40" s="57"/>
      <c r="AF40" s="58"/>
      <c r="AG40" s="56"/>
      <c r="AH40" s="57"/>
      <c r="AI40" s="57"/>
      <c r="AJ40" s="57"/>
      <c r="AK40" s="58"/>
      <c r="AL40" s="63"/>
      <c r="AM40" s="56"/>
      <c r="AN40" s="57"/>
      <c r="AO40" s="57"/>
      <c r="AP40" s="57"/>
      <c r="AQ40" s="58"/>
    </row>
    <row r="41" spans="1:43" x14ac:dyDescent="0.2">
      <c r="A41" s="55"/>
      <c r="B41" s="28"/>
      <c r="C41" s="56"/>
      <c r="D41" s="57"/>
      <c r="E41" s="57"/>
      <c r="F41" s="57"/>
      <c r="G41" s="58"/>
      <c r="H41" s="56"/>
      <c r="I41" s="57"/>
      <c r="J41" s="57"/>
      <c r="K41" s="57"/>
      <c r="L41" s="58"/>
      <c r="M41" s="56"/>
      <c r="N41" s="57"/>
      <c r="O41" s="57"/>
      <c r="P41" s="57"/>
      <c r="Q41" s="58"/>
      <c r="R41" s="56"/>
      <c r="S41" s="57"/>
      <c r="T41" s="57"/>
      <c r="U41" s="57"/>
      <c r="V41" s="58"/>
      <c r="W41" s="56"/>
      <c r="X41" s="57"/>
      <c r="Y41" s="57"/>
      <c r="Z41" s="57"/>
      <c r="AA41" s="58"/>
      <c r="AB41" s="56"/>
      <c r="AC41" s="57"/>
      <c r="AD41" s="57"/>
      <c r="AE41" s="57"/>
      <c r="AF41" s="58"/>
      <c r="AG41" s="56"/>
      <c r="AH41" s="57"/>
      <c r="AI41" s="57"/>
      <c r="AJ41" s="57"/>
      <c r="AK41" s="58"/>
      <c r="AL41" s="63"/>
      <c r="AM41" s="56"/>
      <c r="AN41" s="57"/>
      <c r="AO41" s="57"/>
      <c r="AP41" s="57"/>
      <c r="AQ41" s="58"/>
    </row>
    <row r="42" spans="1:43" x14ac:dyDescent="0.2">
      <c r="A42" s="55"/>
      <c r="B42" s="28"/>
      <c r="C42" s="56"/>
      <c r="D42" s="57"/>
      <c r="E42" s="57"/>
      <c r="F42" s="57"/>
      <c r="G42" s="58"/>
      <c r="H42" s="56"/>
      <c r="I42" s="57"/>
      <c r="J42" s="57"/>
      <c r="K42" s="57"/>
      <c r="L42" s="58"/>
      <c r="M42" s="56"/>
      <c r="N42" s="57"/>
      <c r="O42" s="57"/>
      <c r="P42" s="57"/>
      <c r="Q42" s="58"/>
      <c r="R42" s="56"/>
      <c r="S42" s="57"/>
      <c r="T42" s="57"/>
      <c r="U42" s="57"/>
      <c r="V42" s="58"/>
      <c r="W42" s="56"/>
      <c r="X42" s="57"/>
      <c r="Y42" s="57"/>
      <c r="Z42" s="57"/>
      <c r="AA42" s="58"/>
      <c r="AB42" s="56"/>
      <c r="AC42" s="57"/>
      <c r="AD42" s="57"/>
      <c r="AE42" s="57"/>
      <c r="AF42" s="58"/>
      <c r="AG42" s="56"/>
      <c r="AH42" s="57"/>
      <c r="AI42" s="57"/>
      <c r="AJ42" s="57"/>
      <c r="AK42" s="58"/>
      <c r="AL42" s="63"/>
      <c r="AM42" s="56"/>
      <c r="AN42" s="57"/>
      <c r="AO42" s="57"/>
      <c r="AP42" s="57"/>
      <c r="AQ42" s="58"/>
    </row>
    <row r="43" spans="1:43" x14ac:dyDescent="0.2">
      <c r="A43" s="55"/>
      <c r="B43" s="28"/>
      <c r="C43" s="56"/>
      <c r="D43" s="57"/>
      <c r="E43" s="57"/>
      <c r="F43" s="57"/>
      <c r="G43" s="58"/>
      <c r="H43" s="56"/>
      <c r="I43" s="57"/>
      <c r="J43" s="57"/>
      <c r="K43" s="57"/>
      <c r="L43" s="58"/>
      <c r="M43" s="56"/>
      <c r="N43" s="57"/>
      <c r="O43" s="57"/>
      <c r="P43" s="57"/>
      <c r="Q43" s="58"/>
      <c r="R43" s="56"/>
      <c r="S43" s="57"/>
      <c r="T43" s="57"/>
      <c r="U43" s="57"/>
      <c r="V43" s="58"/>
      <c r="W43" s="56"/>
      <c r="X43" s="57"/>
      <c r="Y43" s="57"/>
      <c r="Z43" s="57"/>
      <c r="AA43" s="58"/>
      <c r="AB43" s="56"/>
      <c r="AC43" s="57"/>
      <c r="AD43" s="57"/>
      <c r="AE43" s="57"/>
      <c r="AF43" s="58"/>
      <c r="AG43" s="56"/>
      <c r="AH43" s="57"/>
      <c r="AI43" s="57"/>
      <c r="AJ43" s="57"/>
      <c r="AK43" s="58"/>
      <c r="AL43" s="63"/>
      <c r="AM43" s="56"/>
      <c r="AN43" s="57"/>
      <c r="AO43" s="57"/>
      <c r="AP43" s="57"/>
      <c r="AQ43" s="58"/>
    </row>
    <row r="44" spans="1:43" x14ac:dyDescent="0.2">
      <c r="A44" s="55"/>
      <c r="B44" s="28"/>
      <c r="C44" s="56"/>
      <c r="D44" s="57"/>
      <c r="E44" s="57"/>
      <c r="F44" s="57"/>
      <c r="G44" s="58"/>
      <c r="H44" s="56"/>
      <c r="I44" s="57"/>
      <c r="J44" s="57"/>
      <c r="K44" s="57"/>
      <c r="L44" s="58"/>
      <c r="M44" s="56"/>
      <c r="N44" s="57"/>
      <c r="O44" s="57"/>
      <c r="P44" s="57"/>
      <c r="Q44" s="58"/>
      <c r="R44" s="56"/>
      <c r="S44" s="57"/>
      <c r="T44" s="57"/>
      <c r="U44" s="57"/>
      <c r="V44" s="58"/>
      <c r="W44" s="56"/>
      <c r="X44" s="57"/>
      <c r="Y44" s="57"/>
      <c r="Z44" s="57"/>
      <c r="AA44" s="58"/>
      <c r="AB44" s="56"/>
      <c r="AC44" s="57"/>
      <c r="AD44" s="57"/>
      <c r="AE44" s="57"/>
      <c r="AF44" s="58"/>
      <c r="AG44" s="56"/>
      <c r="AH44" s="57"/>
      <c r="AI44" s="57"/>
      <c r="AJ44" s="57"/>
      <c r="AK44" s="58"/>
      <c r="AL44" s="63"/>
      <c r="AM44" s="56"/>
      <c r="AN44" s="57"/>
      <c r="AO44" s="57"/>
      <c r="AP44" s="57"/>
      <c r="AQ44" s="58"/>
    </row>
    <row r="45" spans="1:43" x14ac:dyDescent="0.2">
      <c r="A45" s="55"/>
      <c r="B45" s="28"/>
      <c r="C45" s="56"/>
      <c r="D45" s="57"/>
      <c r="E45" s="57"/>
      <c r="F45" s="57"/>
      <c r="G45" s="58"/>
      <c r="H45" s="56"/>
      <c r="I45" s="57"/>
      <c r="J45" s="57"/>
      <c r="K45" s="57"/>
      <c r="L45" s="58"/>
      <c r="M45" s="56"/>
      <c r="N45" s="57"/>
      <c r="O45" s="57"/>
      <c r="P45" s="57"/>
      <c r="Q45" s="58"/>
      <c r="R45" s="56"/>
      <c r="S45" s="57"/>
      <c r="T45" s="57"/>
      <c r="U45" s="57"/>
      <c r="V45" s="58"/>
      <c r="W45" s="56"/>
      <c r="X45" s="57"/>
      <c r="Y45" s="57"/>
      <c r="Z45" s="57"/>
      <c r="AA45" s="58"/>
      <c r="AB45" s="56"/>
      <c r="AC45" s="57"/>
      <c r="AD45" s="57"/>
      <c r="AE45" s="57"/>
      <c r="AF45" s="58"/>
      <c r="AG45" s="56"/>
      <c r="AH45" s="57"/>
      <c r="AI45" s="57"/>
      <c r="AJ45" s="57"/>
      <c r="AK45" s="58"/>
      <c r="AL45" s="63"/>
      <c r="AM45" s="56"/>
      <c r="AN45" s="57"/>
      <c r="AO45" s="57"/>
      <c r="AP45" s="57"/>
      <c r="AQ45" s="58"/>
    </row>
    <row r="46" spans="1:43" x14ac:dyDescent="0.2">
      <c r="A46" s="55"/>
      <c r="B46" s="28"/>
      <c r="C46" s="56"/>
      <c r="D46" s="57"/>
      <c r="E46" s="57"/>
      <c r="F46" s="57"/>
      <c r="G46" s="58"/>
      <c r="H46" s="56"/>
      <c r="I46" s="57"/>
      <c r="J46" s="57"/>
      <c r="K46" s="57"/>
      <c r="L46" s="58"/>
      <c r="M46" s="56"/>
      <c r="N46" s="57"/>
      <c r="O46" s="57"/>
      <c r="P46" s="57"/>
      <c r="Q46" s="58"/>
      <c r="R46" s="56"/>
      <c r="S46" s="57"/>
      <c r="T46" s="57"/>
      <c r="U46" s="57"/>
      <c r="V46" s="58"/>
      <c r="W46" s="56"/>
      <c r="X46" s="57"/>
      <c r="Y46" s="57"/>
      <c r="Z46" s="57"/>
      <c r="AA46" s="58"/>
      <c r="AB46" s="56"/>
      <c r="AC46" s="57"/>
      <c r="AD46" s="57"/>
      <c r="AE46" s="57"/>
      <c r="AF46" s="58"/>
      <c r="AG46" s="56"/>
      <c r="AH46" s="57"/>
      <c r="AI46" s="57"/>
      <c r="AJ46" s="57"/>
      <c r="AK46" s="58"/>
      <c r="AL46" s="63"/>
      <c r="AM46" s="56"/>
      <c r="AN46" s="57"/>
      <c r="AO46" s="57"/>
      <c r="AP46" s="57"/>
      <c r="AQ46" s="58"/>
    </row>
    <row r="47" spans="1:43" x14ac:dyDescent="0.2">
      <c r="A47" s="55"/>
      <c r="B47" s="28"/>
      <c r="C47" s="56"/>
      <c r="D47" s="57"/>
      <c r="E47" s="57"/>
      <c r="F47" s="57"/>
      <c r="G47" s="58"/>
      <c r="H47" s="56"/>
      <c r="I47" s="57"/>
      <c r="J47" s="57"/>
      <c r="K47" s="57"/>
      <c r="L47" s="58"/>
      <c r="M47" s="56"/>
      <c r="N47" s="57"/>
      <c r="O47" s="57"/>
      <c r="P47" s="57"/>
      <c r="Q47" s="58"/>
      <c r="R47" s="56"/>
      <c r="S47" s="57"/>
      <c r="T47" s="57"/>
      <c r="U47" s="57"/>
      <c r="V47" s="58"/>
      <c r="W47" s="56"/>
      <c r="X47" s="57"/>
      <c r="Y47" s="57"/>
      <c r="Z47" s="57"/>
      <c r="AA47" s="58"/>
      <c r="AB47" s="56"/>
      <c r="AC47" s="57"/>
      <c r="AD47" s="57"/>
      <c r="AE47" s="57"/>
      <c r="AF47" s="58"/>
      <c r="AG47" s="56"/>
      <c r="AH47" s="57"/>
      <c r="AI47" s="57"/>
      <c r="AJ47" s="57"/>
      <c r="AK47" s="58"/>
      <c r="AL47" s="63"/>
      <c r="AM47" s="56"/>
      <c r="AN47" s="57"/>
      <c r="AO47" s="57"/>
      <c r="AP47" s="57"/>
      <c r="AQ47" s="58"/>
    </row>
    <row r="48" spans="1:43" x14ac:dyDescent="0.2">
      <c r="A48" s="55"/>
      <c r="B48" s="28"/>
      <c r="C48" s="56"/>
      <c r="D48" s="57"/>
      <c r="E48" s="57"/>
      <c r="F48" s="57"/>
      <c r="G48" s="58"/>
      <c r="H48" s="56"/>
      <c r="I48" s="57"/>
      <c r="J48" s="57"/>
      <c r="K48" s="57"/>
      <c r="L48" s="58"/>
      <c r="M48" s="56"/>
      <c r="N48" s="57"/>
      <c r="O48" s="57"/>
      <c r="P48" s="57"/>
      <c r="Q48" s="58"/>
      <c r="R48" s="56"/>
      <c r="S48" s="57"/>
      <c r="T48" s="57"/>
      <c r="U48" s="57"/>
      <c r="V48" s="58"/>
      <c r="W48" s="56"/>
      <c r="X48" s="57"/>
      <c r="Y48" s="57"/>
      <c r="Z48" s="57"/>
      <c r="AA48" s="58"/>
      <c r="AB48" s="56"/>
      <c r="AC48" s="57"/>
      <c r="AD48" s="57"/>
      <c r="AE48" s="57"/>
      <c r="AF48" s="58"/>
      <c r="AG48" s="56"/>
      <c r="AH48" s="57"/>
      <c r="AI48" s="57"/>
      <c r="AJ48" s="57"/>
      <c r="AK48" s="58"/>
      <c r="AL48" s="63"/>
      <c r="AM48" s="56"/>
      <c r="AN48" s="57"/>
      <c r="AO48" s="57"/>
      <c r="AP48" s="57"/>
      <c r="AQ48" s="58"/>
    </row>
    <row r="49" spans="1:44" x14ac:dyDescent="0.2">
      <c r="A49" s="55"/>
      <c r="B49" s="28"/>
      <c r="C49" s="56"/>
      <c r="D49" s="57"/>
      <c r="E49" s="57"/>
      <c r="F49" s="57"/>
      <c r="G49" s="58"/>
      <c r="H49" s="56"/>
      <c r="I49" s="57"/>
      <c r="J49" s="57"/>
      <c r="K49" s="57"/>
      <c r="L49" s="58"/>
      <c r="M49" s="56"/>
      <c r="N49" s="57"/>
      <c r="O49" s="57"/>
      <c r="P49" s="57"/>
      <c r="Q49" s="58"/>
      <c r="R49" s="56"/>
      <c r="S49" s="57"/>
      <c r="T49" s="57"/>
      <c r="U49" s="57"/>
      <c r="V49" s="58"/>
      <c r="W49" s="56"/>
      <c r="X49" s="57"/>
      <c r="Y49" s="57"/>
      <c r="Z49" s="57"/>
      <c r="AA49" s="58"/>
      <c r="AB49" s="56"/>
      <c r="AC49" s="57"/>
      <c r="AD49" s="57"/>
      <c r="AE49" s="57"/>
      <c r="AF49" s="58"/>
      <c r="AG49" s="56"/>
      <c r="AH49" s="57"/>
      <c r="AI49" s="57"/>
      <c r="AJ49" s="57"/>
      <c r="AK49" s="58"/>
      <c r="AL49" s="63"/>
      <c r="AM49" s="56"/>
      <c r="AN49" s="57"/>
      <c r="AO49" s="57"/>
      <c r="AP49" s="57"/>
      <c r="AQ49" s="58"/>
    </row>
    <row r="50" spans="1:44" x14ac:dyDescent="0.2">
      <c r="A50" s="55"/>
      <c r="B50" s="28"/>
      <c r="C50" s="56"/>
      <c r="D50" s="57"/>
      <c r="E50" s="57"/>
      <c r="F50" s="57"/>
      <c r="G50" s="58"/>
      <c r="H50" s="56"/>
      <c r="I50" s="57"/>
      <c r="J50" s="57"/>
      <c r="K50" s="57"/>
      <c r="L50" s="58"/>
      <c r="M50" s="56"/>
      <c r="N50" s="57"/>
      <c r="O50" s="57"/>
      <c r="P50" s="57"/>
      <c r="Q50" s="58"/>
      <c r="R50" s="56"/>
      <c r="S50" s="57"/>
      <c r="T50" s="57"/>
      <c r="U50" s="57"/>
      <c r="V50" s="58"/>
      <c r="W50" s="56"/>
      <c r="X50" s="57"/>
      <c r="Y50" s="57"/>
      <c r="Z50" s="57"/>
      <c r="AA50" s="58"/>
      <c r="AB50" s="56"/>
      <c r="AC50" s="57"/>
      <c r="AD50" s="57"/>
      <c r="AE50" s="57"/>
      <c r="AF50" s="58"/>
      <c r="AG50" s="56"/>
      <c r="AH50" s="57"/>
      <c r="AI50" s="57"/>
      <c r="AJ50" s="57"/>
      <c r="AK50" s="58"/>
      <c r="AL50" s="63"/>
      <c r="AM50" s="56"/>
      <c r="AN50" s="57"/>
      <c r="AO50" s="57"/>
      <c r="AP50" s="57"/>
      <c r="AQ50" s="58"/>
    </row>
    <row r="51" spans="1:44" x14ac:dyDescent="0.2">
      <c r="A51" s="55"/>
      <c r="B51" s="28"/>
      <c r="C51" s="56"/>
      <c r="D51" s="57"/>
      <c r="E51" s="57"/>
      <c r="F51" s="57"/>
      <c r="G51" s="58"/>
      <c r="H51" s="56"/>
      <c r="I51" s="57"/>
      <c r="J51" s="57"/>
      <c r="K51" s="57"/>
      <c r="L51" s="58"/>
      <c r="M51" s="56"/>
      <c r="N51" s="57"/>
      <c r="O51" s="57"/>
      <c r="P51" s="57"/>
      <c r="Q51" s="58"/>
      <c r="R51" s="56"/>
      <c r="S51" s="57"/>
      <c r="T51" s="57"/>
      <c r="U51" s="57"/>
      <c r="V51" s="58"/>
      <c r="W51" s="56"/>
      <c r="X51" s="57"/>
      <c r="Y51" s="57"/>
      <c r="Z51" s="57"/>
      <c r="AA51" s="58"/>
      <c r="AB51" s="56"/>
      <c r="AC51" s="57"/>
      <c r="AD51" s="57"/>
      <c r="AE51" s="57"/>
      <c r="AF51" s="58"/>
      <c r="AG51" s="56"/>
      <c r="AH51" s="57"/>
      <c r="AI51" s="57"/>
      <c r="AJ51" s="57"/>
      <c r="AK51" s="58"/>
      <c r="AL51" s="63"/>
      <c r="AM51" s="56"/>
      <c r="AN51" s="57"/>
      <c r="AO51" s="57"/>
      <c r="AP51" s="57"/>
      <c r="AQ51" s="58"/>
    </row>
    <row r="52" spans="1:44" x14ac:dyDescent="0.2">
      <c r="A52" s="55"/>
      <c r="B52" s="28"/>
      <c r="C52" s="56"/>
      <c r="D52" s="57"/>
      <c r="E52" s="57"/>
      <c r="F52" s="57"/>
      <c r="G52" s="58"/>
      <c r="H52" s="56"/>
      <c r="I52" s="57"/>
      <c r="J52" s="57"/>
      <c r="K52" s="57"/>
      <c r="L52" s="58"/>
      <c r="M52" s="56"/>
      <c r="N52" s="57"/>
      <c r="O52" s="57"/>
      <c r="P52" s="57"/>
      <c r="Q52" s="58"/>
      <c r="R52" s="56"/>
      <c r="S52" s="57"/>
      <c r="T52" s="57"/>
      <c r="U52" s="57"/>
      <c r="V52" s="58"/>
      <c r="W52" s="56"/>
      <c r="X52" s="57"/>
      <c r="Y52" s="57"/>
      <c r="Z52" s="57"/>
      <c r="AA52" s="58"/>
      <c r="AB52" s="56"/>
      <c r="AC52" s="57"/>
      <c r="AD52" s="57"/>
      <c r="AE52" s="57"/>
      <c r="AF52" s="58"/>
      <c r="AG52" s="56"/>
      <c r="AH52" s="57"/>
      <c r="AI52" s="57"/>
      <c r="AJ52" s="57"/>
      <c r="AK52" s="58"/>
      <c r="AL52" s="63"/>
      <c r="AM52" s="56"/>
      <c r="AN52" s="57"/>
      <c r="AO52" s="57"/>
      <c r="AP52" s="57"/>
      <c r="AQ52" s="58"/>
    </row>
    <row r="53" spans="1:44" x14ac:dyDescent="0.2">
      <c r="A53" s="55"/>
      <c r="B53" s="28"/>
      <c r="C53" s="56"/>
      <c r="D53" s="57"/>
      <c r="E53" s="57"/>
      <c r="F53" s="57"/>
      <c r="G53" s="58"/>
      <c r="H53" s="56"/>
      <c r="I53" s="57"/>
      <c r="J53" s="57"/>
      <c r="K53" s="57"/>
      <c r="L53" s="58"/>
      <c r="M53" s="56"/>
      <c r="N53" s="57"/>
      <c r="O53" s="57"/>
      <c r="P53" s="57"/>
      <c r="Q53" s="58"/>
      <c r="R53" s="56"/>
      <c r="S53" s="57"/>
      <c r="T53" s="57"/>
      <c r="U53" s="57"/>
      <c r="V53" s="58"/>
      <c r="W53" s="56"/>
      <c r="X53" s="57"/>
      <c r="Y53" s="57"/>
      <c r="Z53" s="57"/>
      <c r="AA53" s="58"/>
      <c r="AB53" s="56"/>
      <c r="AC53" s="57"/>
      <c r="AD53" s="57"/>
      <c r="AE53" s="57"/>
      <c r="AF53" s="58"/>
      <c r="AG53" s="56"/>
      <c r="AH53" s="57"/>
      <c r="AI53" s="57"/>
      <c r="AJ53" s="57"/>
      <c r="AK53" s="58"/>
      <c r="AL53" s="63"/>
      <c r="AM53" s="56"/>
      <c r="AN53" s="57"/>
      <c r="AO53" s="57"/>
      <c r="AP53" s="57"/>
      <c r="AQ53" s="58"/>
    </row>
    <row r="54" spans="1:44" x14ac:dyDescent="0.2">
      <c r="A54" s="55"/>
      <c r="B54" s="28"/>
      <c r="C54" s="56"/>
      <c r="D54" s="57"/>
      <c r="E54" s="57"/>
      <c r="F54" s="57"/>
      <c r="G54" s="58"/>
      <c r="H54" s="56"/>
      <c r="I54" s="57"/>
      <c r="J54" s="57"/>
      <c r="K54" s="57"/>
      <c r="L54" s="58"/>
      <c r="M54" s="56"/>
      <c r="N54" s="57"/>
      <c r="O54" s="57"/>
      <c r="P54" s="57"/>
      <c r="Q54" s="58"/>
      <c r="R54" s="56"/>
      <c r="S54" s="57"/>
      <c r="T54" s="57"/>
      <c r="U54" s="57"/>
      <c r="V54" s="58"/>
      <c r="W54" s="56"/>
      <c r="X54" s="57"/>
      <c r="Y54" s="57"/>
      <c r="Z54" s="57"/>
      <c r="AA54" s="58"/>
      <c r="AB54" s="56"/>
      <c r="AC54" s="57"/>
      <c r="AD54" s="57"/>
      <c r="AE54" s="57"/>
      <c r="AF54" s="58"/>
      <c r="AG54" s="56"/>
      <c r="AH54" s="57"/>
      <c r="AI54" s="57"/>
      <c r="AJ54" s="57"/>
      <c r="AK54" s="58"/>
      <c r="AL54" s="63"/>
      <c r="AM54" s="56"/>
      <c r="AN54" s="57"/>
      <c r="AO54" s="57"/>
      <c r="AP54" s="57"/>
      <c r="AQ54" s="59"/>
    </row>
    <row r="55" spans="1:44" x14ac:dyDescent="0.2">
      <c r="A55" s="55"/>
      <c r="B55" s="28"/>
      <c r="C55" s="56"/>
      <c r="D55" s="57"/>
      <c r="E55" s="57"/>
      <c r="F55" s="57"/>
      <c r="G55" s="58"/>
      <c r="H55" s="56"/>
      <c r="I55" s="57"/>
      <c r="J55" s="57"/>
      <c r="K55" s="57"/>
      <c r="L55" s="58"/>
      <c r="M55" s="56"/>
      <c r="N55" s="57"/>
      <c r="O55" s="57"/>
      <c r="P55" s="57"/>
      <c r="Q55" s="58"/>
      <c r="R55" s="56"/>
      <c r="S55" s="57"/>
      <c r="T55" s="57"/>
      <c r="U55" s="57"/>
      <c r="V55" s="58"/>
      <c r="W55" s="56"/>
      <c r="X55" s="57"/>
      <c r="Y55" s="57"/>
      <c r="Z55" s="57"/>
      <c r="AA55" s="58"/>
      <c r="AB55" s="56"/>
      <c r="AC55" s="57"/>
      <c r="AD55" s="57"/>
      <c r="AE55" s="57"/>
      <c r="AF55" s="58"/>
      <c r="AG55" s="56"/>
      <c r="AH55" s="57"/>
      <c r="AI55" s="57"/>
      <c r="AJ55" s="57"/>
      <c r="AK55" s="58"/>
      <c r="AL55" s="63"/>
      <c r="AM55" s="56"/>
      <c r="AN55" s="57"/>
      <c r="AO55" s="57"/>
      <c r="AP55" s="57"/>
      <c r="AQ55" s="58"/>
    </row>
    <row r="56" spans="1:44" x14ac:dyDescent="0.2">
      <c r="A56" s="55"/>
      <c r="B56" s="28"/>
      <c r="C56" s="56"/>
      <c r="D56" s="57"/>
      <c r="E56" s="57"/>
      <c r="F56" s="57"/>
      <c r="G56" s="58"/>
      <c r="H56" s="56"/>
      <c r="I56" s="57"/>
      <c r="J56" s="57"/>
      <c r="K56" s="57"/>
      <c r="L56" s="58"/>
      <c r="M56" s="56"/>
      <c r="N56" s="57"/>
      <c r="O56" s="57"/>
      <c r="P56" s="57"/>
      <c r="Q56" s="58"/>
      <c r="R56" s="56"/>
      <c r="S56" s="57"/>
      <c r="T56" s="57"/>
      <c r="U56" s="57"/>
      <c r="V56" s="58"/>
      <c r="W56" s="56"/>
      <c r="X56" s="57"/>
      <c r="Y56" s="57"/>
      <c r="Z56" s="57"/>
      <c r="AA56" s="58"/>
      <c r="AB56" s="56"/>
      <c r="AC56" s="57"/>
      <c r="AD56" s="57"/>
      <c r="AE56" s="57"/>
      <c r="AF56" s="58"/>
      <c r="AG56" s="56"/>
      <c r="AH56" s="57"/>
      <c r="AI56" s="57"/>
      <c r="AJ56" s="57"/>
      <c r="AK56" s="58"/>
      <c r="AL56" s="63"/>
      <c r="AM56" s="56"/>
      <c r="AN56" s="57"/>
      <c r="AO56" s="57"/>
      <c r="AP56" s="57"/>
      <c r="AQ56" s="58"/>
    </row>
    <row r="57" spans="1:44" x14ac:dyDescent="0.2">
      <c r="A57" s="55"/>
      <c r="B57" s="28"/>
      <c r="C57" s="56"/>
      <c r="D57" s="57"/>
      <c r="E57" s="57"/>
      <c r="F57" s="57"/>
      <c r="G57" s="58"/>
      <c r="H57" s="56"/>
      <c r="I57" s="57"/>
      <c r="J57" s="57"/>
      <c r="K57" s="57"/>
      <c r="L57" s="58"/>
      <c r="M57" s="56"/>
      <c r="N57" s="57"/>
      <c r="O57" s="57"/>
      <c r="P57" s="57"/>
      <c r="Q57" s="58"/>
      <c r="R57" s="56"/>
      <c r="S57" s="57"/>
      <c r="T57" s="57"/>
      <c r="U57" s="57"/>
      <c r="V57" s="58"/>
      <c r="W57" s="56"/>
      <c r="X57" s="57"/>
      <c r="Y57" s="57"/>
      <c r="Z57" s="57"/>
      <c r="AA57" s="58"/>
      <c r="AB57" s="56"/>
      <c r="AC57" s="57"/>
      <c r="AD57" s="57"/>
      <c r="AE57" s="57"/>
      <c r="AF57" s="58"/>
      <c r="AG57" s="56"/>
      <c r="AH57" s="57"/>
      <c r="AI57" s="57"/>
      <c r="AJ57" s="57"/>
      <c r="AK57" s="58"/>
      <c r="AL57" s="63"/>
      <c r="AM57" s="56"/>
      <c r="AN57" s="57"/>
      <c r="AO57" s="57"/>
      <c r="AP57" s="57"/>
      <c r="AQ57" s="58"/>
    </row>
    <row r="58" spans="1:44" x14ac:dyDescent="0.2">
      <c r="A58" s="55"/>
      <c r="B58" s="28"/>
      <c r="C58" s="56"/>
      <c r="D58" s="57"/>
      <c r="E58" s="57"/>
      <c r="F58" s="57"/>
      <c r="G58" s="58"/>
      <c r="H58" s="56"/>
      <c r="I58" s="57"/>
      <c r="J58" s="57"/>
      <c r="K58" s="57"/>
      <c r="L58" s="58"/>
      <c r="M58" s="56"/>
      <c r="N58" s="57"/>
      <c r="O58" s="57"/>
      <c r="P58" s="57"/>
      <c r="Q58" s="58"/>
      <c r="R58" s="56"/>
      <c r="S58" s="57"/>
      <c r="T58" s="57"/>
      <c r="U58" s="57"/>
      <c r="V58" s="58"/>
      <c r="W58" s="56"/>
      <c r="X58" s="57"/>
      <c r="Y58" s="57"/>
      <c r="Z58" s="57"/>
      <c r="AA58" s="58"/>
      <c r="AB58" s="56"/>
      <c r="AC58" s="57"/>
      <c r="AD58" s="57"/>
      <c r="AE58" s="57"/>
      <c r="AF58" s="58"/>
      <c r="AG58" s="56"/>
      <c r="AH58" s="57"/>
      <c r="AI58" s="57"/>
      <c r="AJ58" s="57"/>
      <c r="AK58" s="58"/>
      <c r="AL58" s="63"/>
      <c r="AM58" s="56"/>
      <c r="AN58" s="57"/>
      <c r="AO58" s="57"/>
      <c r="AP58" s="57"/>
      <c r="AQ58" s="58"/>
    </row>
    <row r="59" spans="1:44" x14ac:dyDescent="0.2">
      <c r="A59" s="55"/>
      <c r="B59" s="28"/>
      <c r="C59" s="56"/>
      <c r="D59" s="57"/>
      <c r="E59" s="57"/>
      <c r="F59" s="57"/>
      <c r="G59" s="58"/>
      <c r="H59" s="56"/>
      <c r="I59" s="57"/>
      <c r="J59" s="57"/>
      <c r="K59" s="57"/>
      <c r="L59" s="58"/>
      <c r="M59" s="56"/>
      <c r="N59" s="57"/>
      <c r="O59" s="57"/>
      <c r="P59" s="57"/>
      <c r="Q59" s="58"/>
      <c r="R59" s="56"/>
      <c r="S59" s="57"/>
      <c r="T59" s="57"/>
      <c r="U59" s="57"/>
      <c r="V59" s="58"/>
      <c r="W59" s="56"/>
      <c r="X59" s="57"/>
      <c r="Y59" s="57"/>
      <c r="Z59" s="57"/>
      <c r="AA59" s="58"/>
      <c r="AB59" s="56"/>
      <c r="AC59" s="57"/>
      <c r="AD59" s="57"/>
      <c r="AE59" s="57"/>
      <c r="AF59" s="58"/>
      <c r="AG59" s="56"/>
      <c r="AH59" s="57"/>
      <c r="AI59" s="57"/>
      <c r="AJ59" s="57"/>
      <c r="AK59" s="58"/>
      <c r="AL59" s="63"/>
      <c r="AM59" s="56"/>
      <c r="AN59" s="57"/>
      <c r="AO59" s="57"/>
      <c r="AP59" s="57"/>
      <c r="AQ59" s="58"/>
    </row>
    <row r="61" spans="1:44" x14ac:dyDescent="0.2">
      <c r="A61" s="25" t="s">
        <v>51</v>
      </c>
    </row>
    <row r="62" spans="1:44" x14ac:dyDescent="0.2">
      <c r="A62" s="25" t="s">
        <v>53</v>
      </c>
    </row>
    <row r="63" spans="1:44" x14ac:dyDescent="0.2">
      <c r="A63" s="25" t="s">
        <v>68</v>
      </c>
      <c r="AR63" s="25"/>
    </row>
    <row r="64" spans="1:44" s="25" customFormat="1" x14ac:dyDescent="0.2">
      <c r="A64" s="25" t="s">
        <v>132</v>
      </c>
    </row>
    <row r="65" spans="1:44" s="25" customFormat="1" ht="15.6" x14ac:dyDescent="0.2">
      <c r="A65" s="25" t="s">
        <v>72</v>
      </c>
    </row>
    <row r="66" spans="1:44" x14ac:dyDescent="0.2">
      <c r="A66" s="5" t="s">
        <v>56</v>
      </c>
      <c r="AR66" s="25"/>
    </row>
    <row r="67" spans="1:44" x14ac:dyDescent="0.2">
      <c r="AR67" s="25"/>
    </row>
    <row r="68" spans="1:44" x14ac:dyDescent="0.2">
      <c r="C68" s="25" t="s">
        <v>73</v>
      </c>
      <c r="L68" s="25" t="s">
        <v>74</v>
      </c>
      <c r="U68" s="25" t="s">
        <v>35</v>
      </c>
      <c r="AC68" s="25" t="s">
        <v>36</v>
      </c>
      <c r="AR68" s="25"/>
    </row>
    <row r="69" spans="1:44" s="25" customFormat="1" x14ac:dyDescent="0.2">
      <c r="C69" s="25" t="s">
        <v>61</v>
      </c>
      <c r="L69" s="25" t="s">
        <v>61</v>
      </c>
      <c r="U69" s="25" t="s">
        <v>59</v>
      </c>
      <c r="AC69" s="25" t="s">
        <v>60</v>
      </c>
    </row>
    <row r="70" spans="1:44" x14ac:dyDescent="0.2">
      <c r="C70" s="41">
        <v>1</v>
      </c>
      <c r="D70" s="42">
        <v>0</v>
      </c>
      <c r="E70" s="42">
        <v>0</v>
      </c>
      <c r="F70" s="42">
        <v>1</v>
      </c>
      <c r="G70" s="43">
        <v>0</v>
      </c>
      <c r="L70" s="32">
        <v>1</v>
      </c>
      <c r="M70" s="33">
        <v>0</v>
      </c>
      <c r="N70" s="33">
        <v>0</v>
      </c>
      <c r="O70" s="33">
        <v>1</v>
      </c>
      <c r="P70" s="34">
        <v>0</v>
      </c>
      <c r="U70" s="56">
        <v>0</v>
      </c>
      <c r="V70" s="57">
        <v>0</v>
      </c>
      <c r="W70" s="57">
        <v>0</v>
      </c>
      <c r="X70" s="57">
        <v>0</v>
      </c>
      <c r="Y70" s="58">
        <v>1</v>
      </c>
      <c r="AC70" s="66">
        <v>0</v>
      </c>
      <c r="AD70" s="67">
        <v>0</v>
      </c>
      <c r="AE70" s="67">
        <v>0</v>
      </c>
      <c r="AF70" s="67">
        <v>0</v>
      </c>
      <c r="AG70" s="68">
        <v>0</v>
      </c>
      <c r="AJ70" t="s">
        <v>79</v>
      </c>
      <c r="AN70" t="s">
        <v>49</v>
      </c>
      <c r="AR70" s="25"/>
    </row>
    <row r="71" spans="1:44" x14ac:dyDescent="0.2">
      <c r="C71" s="44">
        <v>0</v>
      </c>
      <c r="D71" s="45">
        <v>1</v>
      </c>
      <c r="E71" s="45">
        <v>0</v>
      </c>
      <c r="F71" s="45">
        <v>1</v>
      </c>
      <c r="G71" s="46">
        <v>1</v>
      </c>
      <c r="L71" s="35">
        <v>0</v>
      </c>
      <c r="M71" s="36">
        <v>0</v>
      </c>
      <c r="N71" s="36">
        <v>1</v>
      </c>
      <c r="O71" s="36">
        <v>1</v>
      </c>
      <c r="P71" s="37">
        <v>1</v>
      </c>
      <c r="U71" s="56">
        <v>1</v>
      </c>
      <c r="V71" s="57">
        <v>0</v>
      </c>
      <c r="W71" s="57">
        <v>1</v>
      </c>
      <c r="X71" s="57">
        <v>0</v>
      </c>
      <c r="Y71" s="59">
        <v>1</v>
      </c>
      <c r="AC71" s="66">
        <v>0</v>
      </c>
      <c r="AD71" s="67">
        <v>0</v>
      </c>
      <c r="AE71" s="67">
        <v>0</v>
      </c>
      <c r="AF71" s="67">
        <v>0</v>
      </c>
      <c r="AG71" s="31">
        <v>0</v>
      </c>
      <c r="AR71" s="25"/>
    </row>
    <row r="72" spans="1:44" x14ac:dyDescent="0.2">
      <c r="C72" s="44">
        <v>1</v>
      </c>
      <c r="D72" s="45">
        <v>0</v>
      </c>
      <c r="E72" s="45">
        <v>1</v>
      </c>
      <c r="F72" s="45">
        <v>0</v>
      </c>
      <c r="G72" s="46">
        <v>1</v>
      </c>
      <c r="L72" s="35">
        <v>0</v>
      </c>
      <c r="M72" s="36">
        <v>0</v>
      </c>
      <c r="N72" s="36">
        <v>1</v>
      </c>
      <c r="O72" s="36">
        <v>1</v>
      </c>
      <c r="P72" s="37">
        <v>1</v>
      </c>
      <c r="U72" s="56">
        <v>0</v>
      </c>
      <c r="V72" s="57">
        <v>0</v>
      </c>
      <c r="W72" s="57">
        <v>0</v>
      </c>
      <c r="X72" s="57">
        <v>0</v>
      </c>
      <c r="Y72" s="59">
        <v>1</v>
      </c>
      <c r="AC72" s="66">
        <v>0</v>
      </c>
      <c r="AD72" s="67">
        <v>0</v>
      </c>
      <c r="AE72" s="67">
        <v>1</v>
      </c>
      <c r="AF72" s="67">
        <v>0</v>
      </c>
      <c r="AG72" s="31">
        <v>0</v>
      </c>
    </row>
    <row r="73" spans="1:44" x14ac:dyDescent="0.2">
      <c r="C73" s="44">
        <v>0</v>
      </c>
      <c r="D73" s="45">
        <v>1</v>
      </c>
      <c r="E73" s="45">
        <v>1</v>
      </c>
      <c r="F73" s="45">
        <v>1</v>
      </c>
      <c r="G73" s="46">
        <v>0</v>
      </c>
      <c r="L73" s="35">
        <v>0</v>
      </c>
      <c r="M73" s="36">
        <v>0</v>
      </c>
      <c r="N73" s="36">
        <v>1</v>
      </c>
      <c r="O73" s="36">
        <v>1</v>
      </c>
      <c r="P73" s="37">
        <v>0</v>
      </c>
      <c r="U73" s="56">
        <v>1</v>
      </c>
      <c r="V73" s="57">
        <v>0</v>
      </c>
      <c r="W73" s="57">
        <v>0</v>
      </c>
      <c r="X73" s="57">
        <v>0</v>
      </c>
      <c r="Y73" s="58">
        <v>1</v>
      </c>
      <c r="AC73" s="66">
        <v>0</v>
      </c>
      <c r="AD73" s="67">
        <v>0</v>
      </c>
      <c r="AE73" s="67">
        <v>0</v>
      </c>
      <c r="AF73" s="67">
        <v>1</v>
      </c>
      <c r="AG73" s="68">
        <v>0</v>
      </c>
      <c r="AJ73" t="s">
        <v>80</v>
      </c>
      <c r="AN73" t="s">
        <v>75</v>
      </c>
    </row>
    <row r="74" spans="1:44" x14ac:dyDescent="0.2">
      <c r="C74" s="44">
        <v>1</v>
      </c>
      <c r="D74" s="45">
        <v>0</v>
      </c>
      <c r="E74" s="45">
        <v>0</v>
      </c>
      <c r="F74" s="45">
        <v>0</v>
      </c>
      <c r="G74" s="46">
        <v>1</v>
      </c>
      <c r="L74" s="35">
        <v>1</v>
      </c>
      <c r="M74" s="36">
        <v>0</v>
      </c>
      <c r="N74" s="36">
        <v>0</v>
      </c>
      <c r="O74" s="36">
        <v>0</v>
      </c>
      <c r="P74" s="37">
        <v>1</v>
      </c>
      <c r="U74" s="56"/>
      <c r="V74" s="57"/>
      <c r="W74" s="57"/>
      <c r="X74" s="57"/>
      <c r="Y74" s="58"/>
      <c r="AC74" s="66"/>
      <c r="AD74" s="67"/>
      <c r="AE74" s="67"/>
      <c r="AF74" s="67"/>
      <c r="AG74" s="68"/>
    </row>
    <row r="75" spans="1:44" x14ac:dyDescent="0.2">
      <c r="C75" s="44">
        <v>1</v>
      </c>
      <c r="D75" s="45">
        <v>0</v>
      </c>
      <c r="E75" s="45">
        <v>1</v>
      </c>
      <c r="F75" s="45">
        <v>1</v>
      </c>
      <c r="G75" s="46">
        <v>1</v>
      </c>
      <c r="L75" s="35">
        <v>0</v>
      </c>
      <c r="M75" s="36">
        <v>0</v>
      </c>
      <c r="N75" s="36">
        <v>1</v>
      </c>
      <c r="O75" s="36">
        <v>1</v>
      </c>
      <c r="P75" s="37">
        <v>1</v>
      </c>
      <c r="U75" s="56"/>
      <c r="V75" s="57"/>
      <c r="W75" s="57"/>
      <c r="X75" s="57"/>
      <c r="Y75" s="58"/>
      <c r="AC75" s="66"/>
      <c r="AD75" s="67"/>
      <c r="AE75" s="67"/>
      <c r="AF75" s="67"/>
      <c r="AG75" s="68"/>
      <c r="AK75" s="25" t="s">
        <v>37</v>
      </c>
    </row>
    <row r="76" spans="1:44" x14ac:dyDescent="0.2">
      <c r="C76" s="44">
        <v>0</v>
      </c>
      <c r="D76" s="45">
        <v>0</v>
      </c>
      <c r="E76" s="45">
        <v>1</v>
      </c>
      <c r="F76" s="45">
        <v>1</v>
      </c>
      <c r="G76" s="46">
        <v>0</v>
      </c>
      <c r="L76" s="35">
        <v>0</v>
      </c>
      <c r="M76" s="36">
        <v>0</v>
      </c>
      <c r="N76" s="36">
        <v>0</v>
      </c>
      <c r="O76" s="36">
        <v>0</v>
      </c>
      <c r="P76" s="37">
        <v>0</v>
      </c>
      <c r="U76" s="56"/>
      <c r="V76" s="57"/>
      <c r="W76" s="57"/>
      <c r="X76" s="57"/>
      <c r="Y76" s="58"/>
      <c r="AC76" s="66"/>
      <c r="AD76" s="67"/>
      <c r="AE76" s="67"/>
      <c r="AF76" s="67"/>
      <c r="AG76" s="68"/>
      <c r="AK76" s="76">
        <v>100</v>
      </c>
      <c r="AL76" s="77"/>
      <c r="AM76" s="77"/>
      <c r="AN76" s="77"/>
      <c r="AO76" s="78"/>
    </row>
    <row r="77" spans="1:44" x14ac:dyDescent="0.2">
      <c r="C77" s="44">
        <v>1</v>
      </c>
      <c r="D77" s="45">
        <v>0</v>
      </c>
      <c r="E77" s="45">
        <v>1</v>
      </c>
      <c r="F77" s="45">
        <v>0</v>
      </c>
      <c r="G77" s="46">
        <v>0</v>
      </c>
      <c r="L77" s="35">
        <v>1</v>
      </c>
      <c r="M77" s="36">
        <v>0</v>
      </c>
      <c r="N77" s="36">
        <v>1</v>
      </c>
      <c r="O77" s="36">
        <v>0</v>
      </c>
      <c r="P77" s="37">
        <v>0</v>
      </c>
      <c r="U77" s="56"/>
      <c r="V77" s="57"/>
      <c r="W77" s="57"/>
      <c r="X77" s="57"/>
      <c r="Y77" s="58"/>
      <c r="AC77" s="66"/>
      <c r="AD77" s="67"/>
      <c r="AE77" s="67"/>
      <c r="AF77" s="67"/>
      <c r="AG77" s="68"/>
      <c r="AK77" s="79"/>
      <c r="AL77" s="80"/>
      <c r="AM77" s="80"/>
      <c r="AN77" s="80"/>
      <c r="AO77" s="81"/>
    </row>
    <row r="78" spans="1:44" x14ac:dyDescent="0.2">
      <c r="C78" s="44">
        <v>0</v>
      </c>
      <c r="D78" s="45">
        <v>0</v>
      </c>
      <c r="E78" s="45">
        <v>0</v>
      </c>
      <c r="F78" s="45">
        <v>1</v>
      </c>
      <c r="G78" s="46">
        <v>1</v>
      </c>
      <c r="L78" s="35">
        <v>0</v>
      </c>
      <c r="M78" s="36">
        <v>0</v>
      </c>
      <c r="N78" s="36">
        <v>0</v>
      </c>
      <c r="O78" s="36">
        <v>0</v>
      </c>
      <c r="P78" s="37">
        <v>1</v>
      </c>
      <c r="U78" s="56"/>
      <c r="V78" s="57"/>
      <c r="W78" s="57"/>
      <c r="X78" s="57"/>
      <c r="Y78" s="58"/>
      <c r="AC78" s="66"/>
      <c r="AD78" s="67"/>
      <c r="AE78" s="67"/>
      <c r="AF78" s="67"/>
      <c r="AG78" s="68"/>
    </row>
    <row r="79" spans="1:44" x14ac:dyDescent="0.2">
      <c r="C79" s="44">
        <v>0</v>
      </c>
      <c r="D79" s="45">
        <v>0</v>
      </c>
      <c r="E79" s="45">
        <v>0</v>
      </c>
      <c r="F79" s="45">
        <v>0</v>
      </c>
      <c r="G79" s="46">
        <v>1</v>
      </c>
      <c r="L79" s="35">
        <v>0</v>
      </c>
      <c r="M79" s="36">
        <v>0</v>
      </c>
      <c r="N79" s="36">
        <v>1</v>
      </c>
      <c r="O79" s="36">
        <v>1</v>
      </c>
      <c r="P79" s="37">
        <v>1</v>
      </c>
      <c r="U79" s="56"/>
      <c r="V79" s="57"/>
      <c r="W79" s="57"/>
      <c r="X79" s="57"/>
      <c r="Y79" s="58"/>
      <c r="AC79" s="66"/>
      <c r="AD79" s="67"/>
      <c r="AE79" s="67"/>
      <c r="AF79" s="67"/>
      <c r="AG79" s="68"/>
      <c r="AK79" s="60" t="s">
        <v>39</v>
      </c>
      <c r="AL79" s="60"/>
      <c r="AM79" s="60"/>
      <c r="AN79" s="60"/>
      <c r="AO79" s="60"/>
    </row>
    <row r="80" spans="1:44" x14ac:dyDescent="0.2">
      <c r="C80" s="44">
        <v>1</v>
      </c>
      <c r="D80" s="45">
        <v>0</v>
      </c>
      <c r="E80" s="45">
        <v>0</v>
      </c>
      <c r="F80" s="45">
        <v>0</v>
      </c>
      <c r="G80" s="46">
        <v>0</v>
      </c>
      <c r="L80" s="35">
        <v>0</v>
      </c>
      <c r="M80" s="36">
        <v>0</v>
      </c>
      <c r="N80" s="36">
        <v>1</v>
      </c>
      <c r="O80" s="36">
        <v>1</v>
      </c>
      <c r="P80" s="37">
        <v>0</v>
      </c>
      <c r="U80" s="56"/>
      <c r="V80" s="57"/>
      <c r="W80" s="57"/>
      <c r="X80" s="57"/>
      <c r="Y80" s="58"/>
      <c r="AC80" s="66"/>
      <c r="AD80" s="67"/>
      <c r="AE80" s="67"/>
      <c r="AF80" s="67"/>
      <c r="AG80" s="68"/>
      <c r="AK80" s="82" t="s">
        <v>139</v>
      </c>
      <c r="AL80" s="77"/>
      <c r="AM80" s="77"/>
      <c r="AN80" s="77"/>
      <c r="AO80" s="78"/>
    </row>
    <row r="81" spans="3:41" x14ac:dyDescent="0.2">
      <c r="C81" s="44">
        <v>1</v>
      </c>
      <c r="D81" s="45">
        <v>0</v>
      </c>
      <c r="E81" s="45">
        <v>0</v>
      </c>
      <c r="F81" s="45">
        <v>1</v>
      </c>
      <c r="G81" s="46">
        <v>1</v>
      </c>
      <c r="L81" s="35">
        <v>1</v>
      </c>
      <c r="M81" s="36">
        <v>0</v>
      </c>
      <c r="N81" s="36">
        <v>0</v>
      </c>
      <c r="O81" s="36">
        <v>1</v>
      </c>
      <c r="P81" s="37">
        <v>1</v>
      </c>
      <c r="U81" s="56"/>
      <c r="V81" s="57"/>
      <c r="W81" s="57"/>
      <c r="X81" s="57"/>
      <c r="Y81" s="58"/>
      <c r="AC81" s="66"/>
      <c r="AD81" s="67"/>
      <c r="AE81" s="67"/>
      <c r="AF81" s="67"/>
      <c r="AG81" s="68"/>
      <c r="AK81" s="79"/>
      <c r="AL81" s="80"/>
      <c r="AM81" s="80"/>
      <c r="AN81" s="80"/>
      <c r="AO81" s="81"/>
    </row>
    <row r="82" spans="3:41" x14ac:dyDescent="0.2">
      <c r="C82" s="44">
        <v>0</v>
      </c>
      <c r="D82" s="45">
        <v>1</v>
      </c>
      <c r="E82" s="45">
        <v>0</v>
      </c>
      <c r="F82" s="45">
        <v>0</v>
      </c>
      <c r="G82" s="46">
        <v>1</v>
      </c>
      <c r="L82" s="35">
        <v>0</v>
      </c>
      <c r="M82" s="36">
        <v>1</v>
      </c>
      <c r="N82" s="36">
        <v>0</v>
      </c>
      <c r="O82" s="36">
        <v>0</v>
      </c>
      <c r="P82" s="37">
        <v>1</v>
      </c>
      <c r="U82" s="56"/>
      <c r="V82" s="57"/>
      <c r="W82" s="57"/>
      <c r="X82" s="57"/>
      <c r="Y82" s="58"/>
      <c r="AC82" s="66"/>
      <c r="AD82" s="67"/>
      <c r="AE82" s="67"/>
      <c r="AF82" s="67"/>
      <c r="AG82" s="68"/>
    </row>
    <row r="83" spans="3:41" x14ac:dyDescent="0.2">
      <c r="C83" s="44">
        <v>1</v>
      </c>
      <c r="D83" s="45">
        <v>0</v>
      </c>
      <c r="E83" s="45">
        <v>0</v>
      </c>
      <c r="F83" s="45">
        <v>0</v>
      </c>
      <c r="G83" s="46">
        <v>1</v>
      </c>
      <c r="L83" s="35">
        <v>1</v>
      </c>
      <c r="M83" s="36">
        <v>0</v>
      </c>
      <c r="N83" s="36">
        <v>0</v>
      </c>
      <c r="O83" s="36">
        <v>0</v>
      </c>
      <c r="P83" s="37">
        <v>1</v>
      </c>
      <c r="U83" s="56"/>
      <c r="V83" s="57"/>
      <c r="W83" s="57"/>
      <c r="X83" s="57"/>
      <c r="Y83" s="58"/>
      <c r="AC83" s="66"/>
      <c r="AD83" s="67"/>
      <c r="AE83" s="67"/>
      <c r="AF83" s="67"/>
      <c r="AG83" s="68"/>
      <c r="AK83" s="60" t="s">
        <v>38</v>
      </c>
      <c r="AL83" s="60"/>
      <c r="AM83" s="60"/>
      <c r="AN83" s="60"/>
      <c r="AO83" s="60"/>
    </row>
    <row r="84" spans="3:41" x14ac:dyDescent="0.2">
      <c r="C84" s="44">
        <v>1</v>
      </c>
      <c r="D84" s="45">
        <v>0</v>
      </c>
      <c r="E84" s="45">
        <v>0</v>
      </c>
      <c r="F84" s="45">
        <v>0</v>
      </c>
      <c r="G84" s="46">
        <v>1</v>
      </c>
      <c r="L84" s="35">
        <v>0</v>
      </c>
      <c r="M84" s="36">
        <v>0</v>
      </c>
      <c r="N84" s="36">
        <v>0</v>
      </c>
      <c r="O84" s="36">
        <v>1</v>
      </c>
      <c r="P84" s="37">
        <v>1</v>
      </c>
      <c r="U84" s="56"/>
      <c r="V84" s="57"/>
      <c r="W84" s="57"/>
      <c r="X84" s="57"/>
      <c r="Y84" s="58"/>
      <c r="AC84" s="66"/>
      <c r="AD84" s="67"/>
      <c r="AE84" s="67"/>
      <c r="AF84" s="67"/>
      <c r="AG84" s="68"/>
      <c r="AK84" s="82">
        <v>100</v>
      </c>
      <c r="AL84" s="77"/>
      <c r="AM84" s="77"/>
      <c r="AN84" s="77"/>
      <c r="AO84" s="78"/>
    </row>
    <row r="85" spans="3:41" x14ac:dyDescent="0.2">
      <c r="C85" s="44">
        <v>1</v>
      </c>
      <c r="D85" s="45">
        <v>1</v>
      </c>
      <c r="E85" s="45">
        <v>1</v>
      </c>
      <c r="F85" s="45">
        <v>1</v>
      </c>
      <c r="G85" s="46">
        <v>1</v>
      </c>
      <c r="L85" s="35">
        <v>0</v>
      </c>
      <c r="M85" s="36">
        <v>0</v>
      </c>
      <c r="N85" s="36">
        <v>1</v>
      </c>
      <c r="O85" s="36">
        <v>1</v>
      </c>
      <c r="P85" s="37">
        <v>1</v>
      </c>
      <c r="U85" s="56"/>
      <c r="V85" s="57"/>
      <c r="W85" s="57"/>
      <c r="X85" s="57"/>
      <c r="Y85" s="58"/>
      <c r="AC85" s="66"/>
      <c r="AD85" s="67"/>
      <c r="AE85" s="67"/>
      <c r="AF85" s="67"/>
      <c r="AG85" s="68"/>
      <c r="AK85" s="79"/>
      <c r="AL85" s="80"/>
      <c r="AM85" s="80"/>
      <c r="AN85" s="80"/>
      <c r="AO85" s="81"/>
    </row>
    <row r="86" spans="3:41" x14ac:dyDescent="0.2">
      <c r="C86" s="44">
        <v>0</v>
      </c>
      <c r="D86" s="45">
        <v>0</v>
      </c>
      <c r="E86" s="45">
        <v>0</v>
      </c>
      <c r="F86" s="45">
        <v>1</v>
      </c>
      <c r="G86" s="46">
        <v>0</v>
      </c>
      <c r="L86" s="35">
        <v>0</v>
      </c>
      <c r="M86" s="36">
        <v>0</v>
      </c>
      <c r="N86" s="36">
        <v>0</v>
      </c>
      <c r="O86" s="36">
        <v>0</v>
      </c>
      <c r="P86" s="37">
        <v>0</v>
      </c>
      <c r="U86" s="56"/>
      <c r="V86" s="57"/>
      <c r="W86" s="57"/>
      <c r="X86" s="57"/>
      <c r="Y86" s="58"/>
      <c r="AC86" s="66"/>
      <c r="AD86" s="67"/>
      <c r="AE86" s="67"/>
      <c r="AF86" s="67"/>
      <c r="AG86" s="68"/>
    </row>
    <row r="87" spans="3:41" x14ac:dyDescent="0.2">
      <c r="C87" s="44">
        <v>1</v>
      </c>
      <c r="D87" s="45">
        <v>1</v>
      </c>
      <c r="E87" s="45">
        <v>1</v>
      </c>
      <c r="F87" s="45">
        <v>0</v>
      </c>
      <c r="G87" s="46">
        <v>1</v>
      </c>
      <c r="L87" s="35">
        <v>1</v>
      </c>
      <c r="M87" s="36">
        <v>0</v>
      </c>
      <c r="N87" s="36">
        <v>1</v>
      </c>
      <c r="O87" s="36">
        <v>0</v>
      </c>
      <c r="P87" s="37">
        <v>1</v>
      </c>
      <c r="U87" s="56"/>
      <c r="V87" s="57"/>
      <c r="W87" s="57"/>
      <c r="X87" s="57"/>
      <c r="Y87" s="58"/>
      <c r="AC87" s="66"/>
      <c r="AD87" s="67"/>
      <c r="AE87" s="67"/>
      <c r="AF87" s="67"/>
      <c r="AG87" s="68"/>
    </row>
    <row r="88" spans="3:41" x14ac:dyDescent="0.2">
      <c r="C88" s="44">
        <v>0</v>
      </c>
      <c r="D88" s="45">
        <v>0</v>
      </c>
      <c r="E88" s="45">
        <v>1</v>
      </c>
      <c r="F88" s="45">
        <v>0</v>
      </c>
      <c r="G88" s="46">
        <v>1</v>
      </c>
      <c r="L88" s="35">
        <v>0</v>
      </c>
      <c r="M88" s="36">
        <v>0</v>
      </c>
      <c r="N88" s="36">
        <v>1</v>
      </c>
      <c r="O88" s="36">
        <v>0</v>
      </c>
      <c r="P88" s="37">
        <v>1</v>
      </c>
      <c r="U88" s="56"/>
      <c r="V88" s="57"/>
      <c r="W88" s="57"/>
      <c r="X88" s="57"/>
      <c r="Y88" s="58"/>
      <c r="AC88" s="66"/>
      <c r="AD88" s="67"/>
      <c r="AE88" s="67"/>
      <c r="AF88" s="67"/>
      <c r="AG88" s="68"/>
      <c r="AJ88" t="s">
        <v>81</v>
      </c>
      <c r="AN88" t="s">
        <v>50</v>
      </c>
    </row>
    <row r="89" spans="3:41" x14ac:dyDescent="0.2">
      <c r="C89" s="44">
        <v>0</v>
      </c>
      <c r="D89" s="45">
        <v>0</v>
      </c>
      <c r="E89" s="45">
        <v>0</v>
      </c>
      <c r="F89" s="45">
        <v>0</v>
      </c>
      <c r="G89" s="46">
        <v>1</v>
      </c>
      <c r="L89" s="35">
        <v>0</v>
      </c>
      <c r="M89" s="36">
        <v>0</v>
      </c>
      <c r="N89" s="36">
        <v>0</v>
      </c>
      <c r="O89" s="36">
        <v>1</v>
      </c>
      <c r="P89" s="37">
        <v>1</v>
      </c>
      <c r="U89" s="56"/>
      <c r="V89" s="57"/>
      <c r="W89" s="57"/>
      <c r="X89" s="57"/>
      <c r="Y89" s="58"/>
      <c r="AC89" s="66"/>
      <c r="AD89" s="67"/>
      <c r="AE89" s="67"/>
      <c r="AF89" s="67"/>
      <c r="AG89" s="68"/>
    </row>
    <row r="90" spans="3:41" x14ac:dyDescent="0.2">
      <c r="C90" s="44">
        <v>0</v>
      </c>
      <c r="D90" s="45">
        <v>1</v>
      </c>
      <c r="E90" s="45">
        <v>1</v>
      </c>
      <c r="F90" s="45">
        <v>0</v>
      </c>
      <c r="G90" s="46">
        <v>1</v>
      </c>
      <c r="L90" s="35">
        <v>0</v>
      </c>
      <c r="M90" s="36">
        <v>0</v>
      </c>
      <c r="N90" s="36">
        <v>1</v>
      </c>
      <c r="O90" s="36">
        <v>1</v>
      </c>
      <c r="P90" s="37">
        <v>1</v>
      </c>
      <c r="U90" s="56"/>
      <c r="V90" s="57"/>
      <c r="W90" s="57"/>
      <c r="X90" s="57"/>
      <c r="Y90" s="59"/>
      <c r="AC90" s="66"/>
      <c r="AD90" s="67"/>
      <c r="AE90" s="67"/>
      <c r="AF90" s="67"/>
      <c r="AG90" s="31"/>
    </row>
    <row r="91" spans="3:41" x14ac:dyDescent="0.2">
      <c r="C91" s="44">
        <v>0</v>
      </c>
      <c r="D91" s="45">
        <v>1</v>
      </c>
      <c r="E91" s="45">
        <v>0</v>
      </c>
      <c r="F91" s="45">
        <v>1</v>
      </c>
      <c r="G91" s="46">
        <v>1</v>
      </c>
      <c r="L91" s="35">
        <v>0</v>
      </c>
      <c r="M91" s="36">
        <v>0</v>
      </c>
      <c r="N91" s="36">
        <v>0</v>
      </c>
      <c r="O91" s="36">
        <v>0</v>
      </c>
      <c r="P91" s="37">
        <v>1</v>
      </c>
      <c r="U91" s="56"/>
      <c r="V91" s="57"/>
      <c r="W91" s="57"/>
      <c r="X91" s="57"/>
      <c r="Y91" s="58"/>
      <c r="AC91" s="66"/>
      <c r="AD91" s="67"/>
      <c r="AE91" s="67"/>
      <c r="AF91" s="67"/>
      <c r="AG91" s="68"/>
    </row>
    <row r="92" spans="3:41" x14ac:dyDescent="0.2">
      <c r="C92" s="44">
        <v>1</v>
      </c>
      <c r="D92" s="45">
        <v>1</v>
      </c>
      <c r="E92" s="45">
        <v>0</v>
      </c>
      <c r="F92" s="45">
        <v>1</v>
      </c>
      <c r="G92" s="46">
        <v>0</v>
      </c>
      <c r="L92" s="35">
        <v>0</v>
      </c>
      <c r="M92" s="36">
        <v>0</v>
      </c>
      <c r="N92" s="36">
        <v>0</v>
      </c>
      <c r="O92" s="36">
        <v>0</v>
      </c>
      <c r="P92" s="37">
        <v>0</v>
      </c>
      <c r="U92" s="56"/>
      <c r="V92" s="57"/>
      <c r="W92" s="57"/>
      <c r="X92" s="57"/>
      <c r="Y92" s="58"/>
      <c r="AC92" s="66"/>
      <c r="AD92" s="67"/>
      <c r="AE92" s="67"/>
      <c r="AF92" s="67"/>
      <c r="AG92" s="68"/>
    </row>
    <row r="93" spans="3:41" x14ac:dyDescent="0.2">
      <c r="C93" s="44">
        <v>1</v>
      </c>
      <c r="D93" s="45">
        <v>1</v>
      </c>
      <c r="E93" s="45">
        <v>1</v>
      </c>
      <c r="F93" s="45">
        <v>0</v>
      </c>
      <c r="G93" s="46">
        <v>0</v>
      </c>
      <c r="L93" s="35">
        <v>0</v>
      </c>
      <c r="M93" s="36">
        <v>0</v>
      </c>
      <c r="N93" s="36">
        <v>0</v>
      </c>
      <c r="O93" s="36">
        <v>0</v>
      </c>
      <c r="P93" s="37">
        <v>0</v>
      </c>
      <c r="U93" s="56"/>
      <c r="V93" s="57"/>
      <c r="W93" s="57"/>
      <c r="X93" s="57"/>
      <c r="Y93" s="58"/>
      <c r="AC93" s="66"/>
      <c r="AD93" s="67"/>
      <c r="AE93" s="67"/>
      <c r="AF93" s="67"/>
      <c r="AG93" s="68"/>
    </row>
    <row r="94" spans="3:41" x14ac:dyDescent="0.2">
      <c r="C94" s="44">
        <v>0</v>
      </c>
      <c r="D94" s="45">
        <v>0</v>
      </c>
      <c r="E94" s="45">
        <v>1</v>
      </c>
      <c r="F94" s="45">
        <v>1</v>
      </c>
      <c r="G94" s="46">
        <v>1</v>
      </c>
      <c r="L94" s="35">
        <v>0</v>
      </c>
      <c r="M94" s="36">
        <v>0</v>
      </c>
      <c r="N94" s="36">
        <v>0</v>
      </c>
      <c r="O94" s="36">
        <v>1</v>
      </c>
      <c r="P94" s="37">
        <v>1</v>
      </c>
      <c r="U94" s="56"/>
      <c r="V94" s="57"/>
      <c r="W94" s="57"/>
      <c r="X94" s="57"/>
      <c r="Y94" s="58"/>
      <c r="AC94" s="66"/>
      <c r="AD94" s="67"/>
      <c r="AE94" s="67"/>
      <c r="AF94" s="67"/>
      <c r="AG94" s="68"/>
    </row>
    <row r="95" spans="3:41" x14ac:dyDescent="0.2">
      <c r="C95" s="44">
        <v>1</v>
      </c>
      <c r="D95" s="45">
        <v>0</v>
      </c>
      <c r="E95" s="45">
        <v>0</v>
      </c>
      <c r="F95" s="45">
        <v>0</v>
      </c>
      <c r="G95" s="46">
        <v>1</v>
      </c>
      <c r="L95" s="35">
        <v>0</v>
      </c>
      <c r="M95" s="36">
        <v>0</v>
      </c>
      <c r="N95" s="36">
        <v>1</v>
      </c>
      <c r="O95" s="36">
        <v>1</v>
      </c>
      <c r="P95" s="37">
        <v>1</v>
      </c>
      <c r="U95" s="56"/>
      <c r="V95" s="57"/>
      <c r="W95" s="57"/>
      <c r="X95" s="57"/>
      <c r="Y95" s="58"/>
      <c r="AC95" s="66"/>
      <c r="AD95" s="67"/>
      <c r="AE95" s="67"/>
      <c r="AF95" s="67"/>
      <c r="AG95" s="68"/>
    </row>
    <row r="96" spans="3:41" x14ac:dyDescent="0.2">
      <c r="C96" s="44">
        <v>1</v>
      </c>
      <c r="D96" s="45">
        <v>1</v>
      </c>
      <c r="E96" s="45">
        <v>0</v>
      </c>
      <c r="F96" s="45">
        <v>1</v>
      </c>
      <c r="G96" s="46">
        <v>0</v>
      </c>
      <c r="L96" s="35">
        <v>1</v>
      </c>
      <c r="M96" s="36">
        <v>1</v>
      </c>
      <c r="N96" s="36">
        <v>0</v>
      </c>
      <c r="O96" s="36">
        <v>1</v>
      </c>
      <c r="P96" s="37">
        <v>0</v>
      </c>
    </row>
    <row r="97" spans="1:43" x14ac:dyDescent="0.2">
      <c r="C97" s="44">
        <v>1</v>
      </c>
      <c r="D97" s="45">
        <v>1</v>
      </c>
      <c r="E97" s="45">
        <v>1</v>
      </c>
      <c r="F97" s="45">
        <v>1</v>
      </c>
      <c r="G97" s="46">
        <v>0</v>
      </c>
      <c r="L97" s="35">
        <v>1</v>
      </c>
      <c r="M97" s="36">
        <v>1</v>
      </c>
      <c r="N97" s="36">
        <v>1</v>
      </c>
      <c r="O97" s="36">
        <v>1</v>
      </c>
      <c r="P97" s="37">
        <v>0</v>
      </c>
    </row>
    <row r="98" spans="1:43" x14ac:dyDescent="0.2">
      <c r="C98" s="44">
        <v>0</v>
      </c>
      <c r="D98" s="45">
        <v>0</v>
      </c>
      <c r="E98" s="45">
        <v>1</v>
      </c>
      <c r="F98" s="45">
        <v>0</v>
      </c>
      <c r="G98" s="46">
        <v>0</v>
      </c>
      <c r="L98" s="35">
        <v>0</v>
      </c>
      <c r="M98" s="36">
        <v>0</v>
      </c>
      <c r="N98" s="36">
        <v>1</v>
      </c>
      <c r="O98" s="36">
        <v>0</v>
      </c>
      <c r="P98" s="37">
        <v>0</v>
      </c>
    </row>
    <row r="99" spans="1:43" x14ac:dyDescent="0.2">
      <c r="C99" s="44">
        <v>1</v>
      </c>
      <c r="D99" s="45">
        <v>0</v>
      </c>
      <c r="E99" s="45">
        <v>1</v>
      </c>
      <c r="F99" s="45">
        <v>1</v>
      </c>
      <c r="G99" s="46">
        <v>1</v>
      </c>
      <c r="L99" s="35">
        <v>0</v>
      </c>
      <c r="M99" s="36">
        <v>0</v>
      </c>
      <c r="N99" s="36">
        <v>1</v>
      </c>
      <c r="O99" s="36">
        <v>1</v>
      </c>
      <c r="P99" s="37">
        <v>1</v>
      </c>
    </row>
    <row r="100" spans="1:43" x14ac:dyDescent="0.2">
      <c r="C100" s="44">
        <v>1</v>
      </c>
      <c r="D100" s="45">
        <v>1</v>
      </c>
      <c r="E100" s="45">
        <v>0</v>
      </c>
      <c r="F100" s="45">
        <v>1</v>
      </c>
      <c r="G100" s="46">
        <v>0</v>
      </c>
      <c r="L100" s="35">
        <v>0</v>
      </c>
      <c r="M100" s="36">
        <v>0</v>
      </c>
      <c r="N100" s="36">
        <v>0</v>
      </c>
      <c r="O100" s="36">
        <v>1</v>
      </c>
      <c r="P100" s="37">
        <v>0</v>
      </c>
    </row>
    <row r="101" spans="1:43" x14ac:dyDescent="0.2">
      <c r="C101" s="44">
        <v>1</v>
      </c>
      <c r="D101" s="45">
        <v>1</v>
      </c>
      <c r="E101" s="45">
        <v>0</v>
      </c>
      <c r="F101" s="45">
        <v>1</v>
      </c>
      <c r="G101" s="46">
        <v>0</v>
      </c>
      <c r="L101" s="35">
        <v>0</v>
      </c>
      <c r="M101" s="36">
        <v>0</v>
      </c>
      <c r="N101" s="36">
        <v>1</v>
      </c>
      <c r="O101" s="36">
        <v>1</v>
      </c>
      <c r="P101" s="37">
        <v>0</v>
      </c>
    </row>
    <row r="102" spans="1:43" x14ac:dyDescent="0.2">
      <c r="C102" s="44">
        <v>1</v>
      </c>
      <c r="D102" s="45">
        <v>0</v>
      </c>
      <c r="E102" s="45">
        <v>0</v>
      </c>
      <c r="F102" s="45">
        <v>0</v>
      </c>
      <c r="G102" s="46">
        <v>1</v>
      </c>
      <c r="L102" s="35">
        <v>0</v>
      </c>
      <c r="M102" s="36">
        <v>0</v>
      </c>
      <c r="N102" s="36">
        <v>1</v>
      </c>
      <c r="O102" s="36">
        <v>1</v>
      </c>
      <c r="P102" s="37">
        <v>1</v>
      </c>
    </row>
    <row r="103" spans="1:43" x14ac:dyDescent="0.2">
      <c r="C103" s="44">
        <v>1</v>
      </c>
      <c r="D103" s="45">
        <v>1</v>
      </c>
      <c r="E103" s="45">
        <v>0</v>
      </c>
      <c r="F103" s="45">
        <v>1</v>
      </c>
      <c r="G103" s="46">
        <v>0</v>
      </c>
      <c r="L103" s="35">
        <v>0</v>
      </c>
      <c r="M103" s="36">
        <v>0</v>
      </c>
      <c r="N103" s="36">
        <v>1</v>
      </c>
      <c r="O103" s="36">
        <v>1</v>
      </c>
      <c r="P103" s="37">
        <v>0</v>
      </c>
    </row>
    <row r="104" spans="1:43" x14ac:dyDescent="0.2">
      <c r="C104" s="47">
        <v>0</v>
      </c>
      <c r="D104" s="48">
        <v>1</v>
      </c>
      <c r="E104" s="48">
        <v>1</v>
      </c>
      <c r="F104" s="48">
        <v>0</v>
      </c>
      <c r="G104" s="49">
        <v>0</v>
      </c>
      <c r="L104" s="38">
        <v>0</v>
      </c>
      <c r="M104" s="39">
        <v>0</v>
      </c>
      <c r="N104" s="39">
        <v>0</v>
      </c>
      <c r="O104" s="39">
        <v>0</v>
      </c>
      <c r="P104" s="40">
        <v>0</v>
      </c>
    </row>
    <row r="106" spans="1:43" s="25" customFormat="1" x14ac:dyDescent="0.2">
      <c r="A106" s="25" t="s">
        <v>55</v>
      </c>
    </row>
    <row r="107" spans="1:43" x14ac:dyDescent="0.2">
      <c r="A107" s="25" t="s">
        <v>40</v>
      </c>
      <c r="B107" s="5"/>
      <c r="T107" s="27"/>
    </row>
    <row r="108" spans="1:43" x14ac:dyDescent="0.2">
      <c r="A108" s="25" t="s">
        <v>69</v>
      </c>
      <c r="B108" s="5"/>
      <c r="T108" s="27"/>
    </row>
    <row r="109" spans="1:43" x14ac:dyDescent="0.2">
      <c r="B109" s="5"/>
      <c r="T109" s="27"/>
    </row>
    <row r="110" spans="1:43" x14ac:dyDescent="0.2">
      <c r="B110" s="5"/>
      <c r="C110" s="25" t="s">
        <v>30</v>
      </c>
      <c r="P110" s="25" t="s">
        <v>64</v>
      </c>
      <c r="Q110" s="25"/>
      <c r="R110" s="25"/>
      <c r="S110" s="25"/>
      <c r="T110" s="25"/>
      <c r="X110" s="25" t="s">
        <v>41</v>
      </c>
      <c r="Y110" s="25"/>
      <c r="Z110" s="25"/>
      <c r="AA110" s="25"/>
      <c r="AB110" s="25"/>
      <c r="AC110" s="25"/>
      <c r="AD110" s="25"/>
    </row>
    <row r="111" spans="1:43" x14ac:dyDescent="0.2">
      <c r="B111" s="5"/>
      <c r="C111" s="41"/>
      <c r="D111" s="42"/>
      <c r="E111" s="26">
        <v>1</v>
      </c>
      <c r="F111" s="42"/>
      <c r="G111" s="43"/>
      <c r="J111" t="s">
        <v>82</v>
      </c>
      <c r="P111" s="32"/>
      <c r="Q111" s="33"/>
      <c r="R111" s="33"/>
      <c r="S111" s="33"/>
      <c r="T111" s="34"/>
      <c r="X111" s="56">
        <v>0</v>
      </c>
      <c r="Y111" s="57">
        <v>0</v>
      </c>
      <c r="Z111" s="57">
        <v>1</v>
      </c>
      <c r="AA111" s="57">
        <v>1</v>
      </c>
      <c r="AB111" s="58">
        <v>1</v>
      </c>
      <c r="AC111" s="5"/>
      <c r="AD111" s="25"/>
      <c r="AE111" s="61"/>
      <c r="AM111" s="25"/>
      <c r="AN111" s="25"/>
      <c r="AO111" s="26">
        <v>1</v>
      </c>
      <c r="AP111" s="25"/>
      <c r="AQ111" s="25"/>
    </row>
    <row r="112" spans="1:43" x14ac:dyDescent="0.2">
      <c r="B112" s="5"/>
      <c r="C112" s="44"/>
      <c r="D112" s="45"/>
      <c r="E112" s="45"/>
      <c r="F112" s="45"/>
      <c r="G112" s="46"/>
      <c r="O112" s="5"/>
      <c r="P112" s="35"/>
      <c r="Q112" s="36"/>
      <c r="R112" s="36"/>
      <c r="S112" s="36"/>
      <c r="T112" s="37"/>
      <c r="X112" s="5"/>
      <c r="Y112" s="5"/>
      <c r="Z112" s="5"/>
      <c r="AA112" s="5"/>
      <c r="AB112" s="25"/>
      <c r="AC112" s="25"/>
      <c r="AD112" s="25"/>
      <c r="AM112" s="25"/>
      <c r="AN112" s="26">
        <v>1</v>
      </c>
      <c r="AO112" s="25"/>
      <c r="AP112" s="26">
        <v>1</v>
      </c>
      <c r="AQ112" s="25"/>
    </row>
    <row r="113" spans="1:43" x14ac:dyDescent="0.2">
      <c r="B113" s="5"/>
      <c r="C113" s="44"/>
      <c r="D113" s="45"/>
      <c r="E113" s="45"/>
      <c r="F113" s="45"/>
      <c r="G113" s="26">
        <v>1</v>
      </c>
      <c r="O113" s="5"/>
      <c r="P113" s="35"/>
      <c r="Q113" s="36"/>
      <c r="R113" s="36"/>
      <c r="S113" s="36"/>
      <c r="T113" s="37"/>
      <c r="X113" s="25" t="s">
        <v>42</v>
      </c>
      <c r="Y113" s="25"/>
      <c r="Z113" s="25"/>
      <c r="AA113" s="25"/>
      <c r="AB113" s="25"/>
      <c r="AC113" s="25"/>
      <c r="AD113" s="25"/>
      <c r="AM113" s="26">
        <v>1</v>
      </c>
      <c r="AN113" s="25"/>
      <c r="AO113" s="25"/>
      <c r="AP113" s="25"/>
      <c r="AQ113" s="26">
        <v>1</v>
      </c>
    </row>
    <row r="114" spans="1:43" x14ac:dyDescent="0.2">
      <c r="B114" s="5"/>
      <c r="C114" s="26">
        <v>1</v>
      </c>
      <c r="D114" s="45"/>
      <c r="E114" s="45"/>
      <c r="F114" s="45"/>
      <c r="G114" s="26">
        <v>1</v>
      </c>
      <c r="J114" t="s">
        <v>83</v>
      </c>
      <c r="O114" s="5"/>
      <c r="P114" s="35"/>
      <c r="Q114" s="36"/>
      <c r="R114" s="36"/>
      <c r="S114" s="36"/>
      <c r="T114" s="37"/>
      <c r="X114" s="73" t="s">
        <v>140</v>
      </c>
      <c r="Y114" s="75"/>
      <c r="Z114" s="50"/>
      <c r="AA114" s="50"/>
      <c r="AB114" s="50"/>
      <c r="AC114" s="50"/>
      <c r="AD114" s="50"/>
      <c r="AM114" s="26">
        <v>1</v>
      </c>
      <c r="AN114" s="25"/>
      <c r="AO114" s="25"/>
      <c r="AP114" s="25"/>
      <c r="AQ114" s="26">
        <v>1</v>
      </c>
    </row>
    <row r="115" spans="1:43" x14ac:dyDescent="0.2">
      <c r="B115" s="5"/>
      <c r="C115" s="26">
        <v>1</v>
      </c>
      <c r="D115" s="45"/>
      <c r="E115" s="45"/>
      <c r="F115" s="45"/>
      <c r="G115" s="45"/>
      <c r="O115" s="5"/>
      <c r="P115" s="35"/>
      <c r="Q115" s="36"/>
      <c r="R115" s="36"/>
      <c r="S115" s="36"/>
      <c r="T115" s="37"/>
      <c r="X115" s="5"/>
      <c r="Y115" s="5"/>
      <c r="Z115" s="5"/>
      <c r="AA115" s="5"/>
      <c r="AB115" s="25"/>
      <c r="AC115" s="25"/>
      <c r="AD115" s="25"/>
      <c r="AM115" s="26">
        <v>1</v>
      </c>
      <c r="AN115" s="26">
        <v>1</v>
      </c>
      <c r="AO115" s="26">
        <v>1</v>
      </c>
      <c r="AP115" s="26">
        <v>1</v>
      </c>
      <c r="AQ115" s="26">
        <v>1</v>
      </c>
    </row>
    <row r="116" spans="1:43" x14ac:dyDescent="0.2">
      <c r="B116" s="5"/>
      <c r="C116" s="26">
        <v>1</v>
      </c>
      <c r="D116" s="45"/>
      <c r="E116" s="45"/>
      <c r="F116" s="45"/>
      <c r="G116" s="26">
        <v>1</v>
      </c>
      <c r="O116" s="5"/>
      <c r="P116" s="35"/>
      <c r="Q116" s="36"/>
      <c r="R116" s="36"/>
      <c r="S116" s="36"/>
      <c r="T116" s="37"/>
      <c r="X116" s="5" t="s">
        <v>43</v>
      </c>
      <c r="Y116" s="5"/>
      <c r="Z116" s="5"/>
      <c r="AA116" s="5"/>
      <c r="AB116" s="25"/>
      <c r="AC116" s="25"/>
      <c r="AD116" s="25"/>
      <c r="AM116" s="26">
        <v>1</v>
      </c>
      <c r="AN116" s="25"/>
      <c r="AO116" s="25"/>
      <c r="AP116" s="25"/>
      <c r="AQ116" s="26">
        <v>1</v>
      </c>
    </row>
    <row r="117" spans="1:43" x14ac:dyDescent="0.2">
      <c r="B117" s="5"/>
      <c r="C117" s="26">
        <v>1</v>
      </c>
      <c r="D117" s="48"/>
      <c r="E117" s="48"/>
      <c r="F117" s="48"/>
      <c r="G117" s="26">
        <v>1</v>
      </c>
      <c r="J117" t="s">
        <v>84</v>
      </c>
      <c r="O117" s="5"/>
      <c r="P117" s="38"/>
      <c r="Q117" s="39"/>
      <c r="R117" s="39"/>
      <c r="S117" s="39"/>
      <c r="T117" s="40"/>
      <c r="X117" s="70" t="s">
        <v>139</v>
      </c>
      <c r="Y117" s="71"/>
      <c r="Z117" s="71"/>
      <c r="AA117" s="71"/>
      <c r="AB117" s="71"/>
      <c r="AC117" s="71"/>
      <c r="AD117" s="72"/>
      <c r="AE117" s="50"/>
      <c r="AM117" s="26">
        <v>1</v>
      </c>
      <c r="AN117" s="25"/>
      <c r="AO117" s="25"/>
      <c r="AP117" s="25"/>
      <c r="AQ117" s="26">
        <v>1</v>
      </c>
    </row>
    <row r="118" spans="1:43" x14ac:dyDescent="0.2">
      <c r="B118" s="5"/>
    </row>
    <row r="119" spans="1:43" x14ac:dyDescent="0.2">
      <c r="B119" s="5"/>
      <c r="C119" s="25" t="s">
        <v>44</v>
      </c>
    </row>
    <row r="120" spans="1:43" x14ac:dyDescent="0.2">
      <c r="B120" s="5"/>
      <c r="C120" s="29">
        <v>0</v>
      </c>
      <c r="D120" s="30">
        <v>0</v>
      </c>
      <c r="E120" s="30">
        <v>1</v>
      </c>
      <c r="F120" s="30">
        <v>0</v>
      </c>
      <c r="G120" s="30">
        <v>0</v>
      </c>
      <c r="H120" s="30">
        <v>0</v>
      </c>
      <c r="I120" s="30">
        <v>0</v>
      </c>
      <c r="J120" s="30">
        <v>0</v>
      </c>
      <c r="K120" s="30">
        <v>0</v>
      </c>
      <c r="L120" s="30">
        <v>0</v>
      </c>
      <c r="M120" s="30">
        <v>0</v>
      </c>
      <c r="N120" s="30">
        <v>0</v>
      </c>
      <c r="O120" s="30">
        <v>0</v>
      </c>
      <c r="P120" s="30">
        <v>0</v>
      </c>
      <c r="Q120" s="30">
        <v>1</v>
      </c>
      <c r="R120" s="30">
        <v>1</v>
      </c>
      <c r="S120" s="30">
        <v>0</v>
      </c>
      <c r="T120" s="30">
        <v>0</v>
      </c>
      <c r="U120" s="30">
        <v>0</v>
      </c>
      <c r="V120" s="30">
        <v>1</v>
      </c>
      <c r="W120" s="30">
        <v>1</v>
      </c>
      <c r="X120" s="30">
        <v>0</v>
      </c>
      <c r="Y120" s="30">
        <v>0</v>
      </c>
      <c r="Z120" s="30">
        <v>0</v>
      </c>
      <c r="AA120" s="30">
        <v>0</v>
      </c>
      <c r="AB120" s="30">
        <v>1</v>
      </c>
      <c r="AC120" s="30">
        <v>0</v>
      </c>
      <c r="AD120" s="30">
        <v>0</v>
      </c>
      <c r="AE120" s="30">
        <v>0</v>
      </c>
      <c r="AF120" s="30">
        <v>1</v>
      </c>
      <c r="AG120" s="30">
        <v>1</v>
      </c>
      <c r="AH120" s="30">
        <v>0</v>
      </c>
      <c r="AI120" s="30">
        <v>0</v>
      </c>
      <c r="AJ120" s="30">
        <v>0</v>
      </c>
      <c r="AK120" s="31">
        <v>1</v>
      </c>
    </row>
    <row r="121" spans="1:43" x14ac:dyDescent="0.2">
      <c r="B121" s="5"/>
    </row>
    <row r="122" spans="1:43" x14ac:dyDescent="0.2">
      <c r="A122" s="25" t="s">
        <v>65</v>
      </c>
      <c r="B122" s="5"/>
      <c r="AE122" s="27"/>
      <c r="AG122" s="27"/>
    </row>
    <row r="123" spans="1:43" x14ac:dyDescent="0.2">
      <c r="A123" s="25" t="s">
        <v>76</v>
      </c>
      <c r="B123" s="5"/>
      <c r="AE123" s="27"/>
    </row>
    <row r="124" spans="1:43" x14ac:dyDescent="0.2">
      <c r="A124" s="25" t="s">
        <v>45</v>
      </c>
      <c r="B124" s="5"/>
      <c r="AE124" s="27"/>
    </row>
    <row r="125" spans="1:43" x14ac:dyDescent="0.2">
      <c r="B125" s="5"/>
      <c r="AE125" s="27"/>
    </row>
    <row r="126" spans="1:43" x14ac:dyDescent="0.2">
      <c r="A126" s="25" t="s">
        <v>66</v>
      </c>
      <c r="B126" s="5"/>
    </row>
    <row r="127" spans="1:43" x14ac:dyDescent="0.2">
      <c r="B127" s="5"/>
    </row>
    <row r="128" spans="1:43" x14ac:dyDescent="0.2">
      <c r="A128" s="25" t="s">
        <v>67</v>
      </c>
      <c r="B128" s="5"/>
      <c r="AC128" t="s">
        <v>78</v>
      </c>
    </row>
    <row r="129" spans="2:2" x14ac:dyDescent="0.2">
      <c r="B129" s="5"/>
    </row>
  </sheetData>
  <autoFilter ref="A4:AQ30" xr:uid="{24B3E5D9-E255-4EBA-B1F9-4E72921A5D1F}">
    <filterColumn colId="0">
      <customFilters>
        <customFilter val="*"/>
      </customFilters>
    </filterColumn>
  </autoFilter>
  <mergeCells count="6">
    <mergeCell ref="X117:AD117"/>
    <mergeCell ref="AD32:AH32"/>
    <mergeCell ref="AK76:AO77"/>
    <mergeCell ref="AK80:AO81"/>
    <mergeCell ref="AK84:AO85"/>
    <mergeCell ref="X114:Y114"/>
  </mergeCells>
  <phoneticPr fontId="1"/>
  <pageMargins left="0.25" right="0.25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autoFill="0" autoPict="0" macro="[0]!Pfilter">
                <anchor moveWithCells="1">
                  <from>
                    <xdr:col>19</xdr:col>
                    <xdr:colOff>38100</xdr:colOff>
                    <xdr:row>1</xdr:row>
                    <xdr:rowOff>160020</xdr:rowOff>
                  </from>
                  <to>
                    <xdr:col>23</xdr:col>
                    <xdr:colOff>60960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autoFill="0" autoPict="0" macro="[0]!Pclear">
                <anchor moveWithCells="1">
                  <from>
                    <xdr:col>30</xdr:col>
                    <xdr:colOff>38100</xdr:colOff>
                    <xdr:row>1</xdr:row>
                    <xdr:rowOff>152400</xdr:rowOff>
                  </from>
                  <to>
                    <xdr:col>34</xdr:col>
                    <xdr:colOff>60960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autoFill="0" autoPict="0" macro="[0]!PInit">
                <anchor moveWithCells="1">
                  <from>
                    <xdr:col>35</xdr:col>
                    <xdr:colOff>0</xdr:colOff>
                    <xdr:row>69</xdr:row>
                    <xdr:rowOff>0</xdr:rowOff>
                  </from>
                  <to>
                    <xdr:col>38</xdr:col>
                    <xdr:colOff>99060</xdr:colOff>
                    <xdr:row>70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autoFill="0" autoPict="0" macro="[0]!Pweight">
                <anchor moveWithCells="1">
                  <from>
                    <xdr:col>35</xdr:col>
                    <xdr:colOff>0</xdr:colOff>
                    <xdr:row>72</xdr:row>
                    <xdr:rowOff>0</xdr:rowOff>
                  </from>
                  <to>
                    <xdr:col>38</xdr:col>
                    <xdr:colOff>99060</xdr:colOff>
                    <xdr:row>73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autoFill="0" autoPict="0" macro="[0]!Preset">
                <anchor moveWithCells="1">
                  <from>
                    <xdr:col>35</xdr:col>
                    <xdr:colOff>22860</xdr:colOff>
                    <xdr:row>86</xdr:row>
                    <xdr:rowOff>160020</xdr:rowOff>
                  </from>
                  <to>
                    <xdr:col>38</xdr:col>
                    <xdr:colOff>114300</xdr:colOff>
                    <xdr:row>88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autoFill="0" autoPict="0" macro="[0]!Pinput">
                <anchor moveWithCells="1">
                  <from>
                    <xdr:col>8</xdr:col>
                    <xdr:colOff>160020</xdr:colOff>
                    <xdr:row>110</xdr:row>
                    <xdr:rowOff>0</xdr:rowOff>
                  </from>
                  <to>
                    <xdr:col>13</xdr:col>
                    <xdr:colOff>7620</xdr:colOff>
                    <xdr:row>111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autoFill="0" autoPict="0" macro="[0]!Precall">
                <anchor moveWithCells="1">
                  <from>
                    <xdr:col>9</xdr:col>
                    <xdr:colOff>0</xdr:colOff>
                    <xdr:row>112</xdr:row>
                    <xdr:rowOff>160020</xdr:rowOff>
                  </from>
                  <to>
                    <xdr:col>13</xdr:col>
                    <xdr:colOff>22860</xdr:colOff>
                    <xdr:row>114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Button 8">
              <controlPr defaultSize="0" autoFill="0" autoPict="0" macro="[0]!Pretry">
                <anchor moveWithCells="1">
                  <from>
                    <xdr:col>9</xdr:col>
                    <xdr:colOff>7620</xdr:colOff>
                    <xdr:row>115</xdr:row>
                    <xdr:rowOff>144780</xdr:rowOff>
                  </from>
                  <to>
                    <xdr:col>13</xdr:col>
                    <xdr:colOff>30480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Button 9">
              <controlPr defaultSize="0" autoFill="0" autoPict="0" macro="[0]!Pclear">
                <anchor moveWithCells="1">
                  <from>
                    <xdr:col>28</xdr:col>
                    <xdr:colOff>30480</xdr:colOff>
                    <xdr:row>126</xdr:row>
                    <xdr:rowOff>160020</xdr:rowOff>
                  </from>
                  <to>
                    <xdr:col>32</xdr:col>
                    <xdr:colOff>45720</xdr:colOff>
                    <xdr:row>128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BG42"/>
  <sheetViews>
    <sheetView tabSelected="1" topLeftCell="A19" zoomScale="80" zoomScaleNormal="80" workbookViewId="0">
      <selection activeCell="BC42" sqref="BC42"/>
    </sheetView>
  </sheetViews>
  <sheetFormatPr defaultColWidth="3.21875" defaultRowHeight="13.2" x14ac:dyDescent="0.2"/>
  <cols>
    <col min="13" max="15" width="9" bestFit="1" customWidth="1"/>
  </cols>
  <sheetData>
    <row r="1" spans="1:41" s="25" customFormat="1" x14ac:dyDescent="0.2">
      <c r="AK1" s="25" t="s">
        <v>74</v>
      </c>
    </row>
    <row r="2" spans="1:41" x14ac:dyDescent="0.2">
      <c r="B2" s="25"/>
      <c r="C2" s="25"/>
      <c r="AK2" s="32">
        <v>1</v>
      </c>
      <c r="AL2" s="33">
        <v>0</v>
      </c>
      <c r="AM2" s="33">
        <v>0</v>
      </c>
      <c r="AN2" s="33">
        <v>0</v>
      </c>
      <c r="AO2" s="34">
        <v>0</v>
      </c>
    </row>
    <row r="3" spans="1:41" x14ac:dyDescent="0.2">
      <c r="A3" s="25"/>
      <c r="B3" s="25"/>
      <c r="C3" s="25"/>
      <c r="AK3" s="32">
        <v>0</v>
      </c>
      <c r="AL3" s="33">
        <v>0</v>
      </c>
      <c r="AM3" s="33">
        <v>0</v>
      </c>
      <c r="AN3" s="33">
        <v>0</v>
      </c>
      <c r="AO3" s="34">
        <v>0</v>
      </c>
    </row>
    <row r="4" spans="1:41" x14ac:dyDescent="0.2">
      <c r="A4" s="25"/>
      <c r="B4" s="25"/>
      <c r="C4" s="25"/>
      <c r="AK4" s="32">
        <v>0</v>
      </c>
      <c r="AL4" s="33">
        <v>0</v>
      </c>
      <c r="AM4" s="33">
        <v>0</v>
      </c>
      <c r="AN4" s="33">
        <v>0</v>
      </c>
      <c r="AO4" s="34">
        <v>0</v>
      </c>
    </row>
    <row r="5" spans="1:41" x14ac:dyDescent="0.2">
      <c r="A5" s="25"/>
      <c r="B5" s="25"/>
      <c r="C5" s="25"/>
      <c r="AK5" s="32">
        <v>0</v>
      </c>
      <c r="AL5" s="33">
        <v>0</v>
      </c>
      <c r="AM5" s="33">
        <v>0</v>
      </c>
      <c r="AN5" s="33">
        <v>0</v>
      </c>
      <c r="AO5" s="34">
        <v>0</v>
      </c>
    </row>
    <row r="6" spans="1:41" x14ac:dyDescent="0.2">
      <c r="A6" s="25"/>
      <c r="B6" s="25"/>
      <c r="C6" s="25"/>
      <c r="AK6" s="32">
        <v>0</v>
      </c>
      <c r="AL6" s="33">
        <v>0</v>
      </c>
      <c r="AM6" s="33">
        <v>1</v>
      </c>
      <c r="AN6" s="33">
        <v>0</v>
      </c>
      <c r="AO6" s="34">
        <v>0</v>
      </c>
    </row>
    <row r="7" spans="1:41" x14ac:dyDescent="0.2">
      <c r="A7" s="25"/>
      <c r="B7" s="25"/>
      <c r="C7" s="25"/>
      <c r="AK7" s="32">
        <v>0</v>
      </c>
      <c r="AL7" s="33">
        <v>0</v>
      </c>
      <c r="AM7" s="33">
        <v>0</v>
      </c>
      <c r="AN7" s="33">
        <v>0</v>
      </c>
      <c r="AO7" s="34">
        <v>0</v>
      </c>
    </row>
    <row r="8" spans="1:41" x14ac:dyDescent="0.2">
      <c r="A8" s="25"/>
      <c r="B8" s="25"/>
      <c r="C8" s="25"/>
      <c r="AK8" s="32">
        <v>0</v>
      </c>
      <c r="AL8" s="33">
        <v>0</v>
      </c>
      <c r="AM8" s="33">
        <v>0</v>
      </c>
      <c r="AN8" s="33">
        <v>0</v>
      </c>
      <c r="AO8" s="34">
        <v>0</v>
      </c>
    </row>
    <row r="9" spans="1:41" x14ac:dyDescent="0.2">
      <c r="A9" s="25"/>
      <c r="B9" s="25"/>
      <c r="C9" s="25"/>
      <c r="AK9" s="32">
        <v>0</v>
      </c>
      <c r="AL9" s="33">
        <v>0</v>
      </c>
      <c r="AM9" s="33">
        <v>0</v>
      </c>
      <c r="AN9" s="33">
        <v>0</v>
      </c>
      <c r="AO9" s="34">
        <v>1</v>
      </c>
    </row>
    <row r="10" spans="1:41" x14ac:dyDescent="0.2">
      <c r="A10" s="25"/>
      <c r="B10" s="25"/>
      <c r="C10" s="25"/>
      <c r="AK10" s="32">
        <v>0</v>
      </c>
      <c r="AL10" s="33">
        <v>0</v>
      </c>
      <c r="AM10" s="33">
        <v>0</v>
      </c>
      <c r="AN10" s="33">
        <v>0</v>
      </c>
      <c r="AO10" s="34">
        <v>1</v>
      </c>
    </row>
    <row r="11" spans="1:41" x14ac:dyDescent="0.2">
      <c r="A11" s="25"/>
      <c r="B11" s="25"/>
      <c r="C11" s="25"/>
      <c r="AK11" s="32">
        <v>0</v>
      </c>
      <c r="AL11" s="33">
        <v>0</v>
      </c>
      <c r="AM11" s="33">
        <v>1</v>
      </c>
      <c r="AN11" s="33">
        <v>0</v>
      </c>
      <c r="AO11" s="34">
        <v>1</v>
      </c>
    </row>
    <row r="12" spans="1:41" x14ac:dyDescent="0.2">
      <c r="AK12" s="32">
        <v>0</v>
      </c>
      <c r="AL12" s="33">
        <v>0</v>
      </c>
      <c r="AM12" s="33">
        <v>0</v>
      </c>
      <c r="AN12" s="33">
        <v>0</v>
      </c>
      <c r="AO12" s="34">
        <v>0</v>
      </c>
    </row>
    <row r="13" spans="1:41" x14ac:dyDescent="0.2">
      <c r="AK13" s="32">
        <v>0</v>
      </c>
      <c r="AL13" s="33">
        <v>0</v>
      </c>
      <c r="AM13" s="33">
        <v>0</v>
      </c>
      <c r="AN13" s="33">
        <v>0</v>
      </c>
      <c r="AO13" s="34">
        <v>0</v>
      </c>
    </row>
    <row r="14" spans="1:41" x14ac:dyDescent="0.2">
      <c r="AK14" s="32">
        <v>0</v>
      </c>
      <c r="AL14" s="33">
        <v>0</v>
      </c>
      <c r="AM14" s="33">
        <v>0</v>
      </c>
      <c r="AN14" s="33">
        <v>0</v>
      </c>
      <c r="AO14" s="34">
        <v>0</v>
      </c>
    </row>
    <row r="15" spans="1:41" x14ac:dyDescent="0.2">
      <c r="AK15" s="32">
        <v>0</v>
      </c>
      <c r="AL15" s="33">
        <v>0</v>
      </c>
      <c r="AM15" s="33">
        <v>0</v>
      </c>
      <c r="AN15" s="33">
        <v>0</v>
      </c>
      <c r="AO15" s="34">
        <v>0</v>
      </c>
    </row>
    <row r="16" spans="1:41" x14ac:dyDescent="0.2">
      <c r="AK16" s="32">
        <v>0</v>
      </c>
      <c r="AL16" s="33">
        <v>0</v>
      </c>
      <c r="AM16" s="33">
        <v>0</v>
      </c>
      <c r="AN16" s="33">
        <v>0</v>
      </c>
      <c r="AO16" s="34">
        <v>0</v>
      </c>
    </row>
    <row r="17" spans="37:41" x14ac:dyDescent="0.2">
      <c r="AK17" s="32">
        <v>0</v>
      </c>
      <c r="AL17" s="33">
        <v>0</v>
      </c>
      <c r="AM17" s="33">
        <v>0</v>
      </c>
      <c r="AN17" s="33">
        <v>0</v>
      </c>
      <c r="AO17" s="34">
        <v>1</v>
      </c>
    </row>
    <row r="18" spans="37:41" x14ac:dyDescent="0.2">
      <c r="AK18" s="32">
        <v>0</v>
      </c>
      <c r="AL18" s="33">
        <v>0</v>
      </c>
      <c r="AM18" s="33">
        <v>0</v>
      </c>
      <c r="AN18" s="33">
        <v>0</v>
      </c>
      <c r="AO18" s="34">
        <v>0</v>
      </c>
    </row>
    <row r="19" spans="37:41" x14ac:dyDescent="0.2">
      <c r="AK19" s="32">
        <v>0</v>
      </c>
      <c r="AL19" s="33">
        <v>0</v>
      </c>
      <c r="AM19" s="33">
        <v>0</v>
      </c>
      <c r="AN19" s="33">
        <v>0</v>
      </c>
      <c r="AO19" s="34">
        <v>0</v>
      </c>
    </row>
    <row r="20" spans="37:41" x14ac:dyDescent="0.2">
      <c r="AK20" s="32">
        <v>0</v>
      </c>
      <c r="AL20" s="33">
        <v>0</v>
      </c>
      <c r="AM20" s="33">
        <v>0</v>
      </c>
      <c r="AN20" s="33">
        <v>0</v>
      </c>
      <c r="AO20" s="34">
        <v>0</v>
      </c>
    </row>
    <row r="21" spans="37:41" x14ac:dyDescent="0.2">
      <c r="AK21" s="32">
        <v>0</v>
      </c>
      <c r="AL21" s="33">
        <v>0</v>
      </c>
      <c r="AM21" s="33">
        <v>0</v>
      </c>
      <c r="AN21" s="33">
        <v>0</v>
      </c>
      <c r="AO21" s="34">
        <v>0</v>
      </c>
    </row>
    <row r="22" spans="37:41" x14ac:dyDescent="0.2">
      <c r="AK22" s="32">
        <v>0</v>
      </c>
      <c r="AL22" s="33">
        <v>0</v>
      </c>
      <c r="AM22" s="33">
        <v>0</v>
      </c>
      <c r="AN22" s="33">
        <v>0</v>
      </c>
      <c r="AO22" s="34">
        <v>0</v>
      </c>
    </row>
    <row r="23" spans="37:41" x14ac:dyDescent="0.2">
      <c r="AK23" s="32">
        <v>0</v>
      </c>
      <c r="AL23" s="33">
        <v>0</v>
      </c>
      <c r="AM23" s="33">
        <v>0</v>
      </c>
      <c r="AN23" s="33">
        <v>0</v>
      </c>
      <c r="AO23" s="34">
        <v>0</v>
      </c>
    </row>
    <row r="24" spans="37:41" x14ac:dyDescent="0.2">
      <c r="AK24" s="32">
        <v>0</v>
      </c>
      <c r="AL24" s="33">
        <v>0</v>
      </c>
      <c r="AM24" s="33">
        <v>0</v>
      </c>
      <c r="AN24" s="33">
        <v>0</v>
      </c>
      <c r="AO24" s="34">
        <v>0</v>
      </c>
    </row>
    <row r="25" spans="37:41" x14ac:dyDescent="0.2">
      <c r="AK25" s="32">
        <v>0</v>
      </c>
      <c r="AL25" s="33">
        <v>0</v>
      </c>
      <c r="AM25" s="33">
        <v>0</v>
      </c>
      <c r="AN25" s="33">
        <v>0</v>
      </c>
      <c r="AO25" s="34">
        <v>0</v>
      </c>
    </row>
    <row r="26" spans="37:41" x14ac:dyDescent="0.2">
      <c r="AK26" s="32">
        <v>0</v>
      </c>
      <c r="AL26" s="33">
        <v>0</v>
      </c>
      <c r="AM26" s="33">
        <v>0</v>
      </c>
      <c r="AN26" s="33">
        <v>0</v>
      </c>
      <c r="AO26" s="34">
        <v>0</v>
      </c>
    </row>
    <row r="27" spans="37:41" x14ac:dyDescent="0.2">
      <c r="AK27" s="32">
        <v>0</v>
      </c>
      <c r="AL27" s="33">
        <v>0</v>
      </c>
      <c r="AM27" s="33">
        <v>0</v>
      </c>
      <c r="AN27" s="33">
        <v>0</v>
      </c>
      <c r="AO27" s="34">
        <v>0</v>
      </c>
    </row>
    <row r="28" spans="37:41" x14ac:dyDescent="0.2">
      <c r="AK28" s="32">
        <v>0</v>
      </c>
      <c r="AL28" s="33">
        <v>0</v>
      </c>
      <c r="AM28" s="33">
        <v>1</v>
      </c>
      <c r="AN28" s="33">
        <v>0</v>
      </c>
      <c r="AO28" s="34">
        <v>0</v>
      </c>
    </row>
    <row r="29" spans="37:41" x14ac:dyDescent="0.2">
      <c r="AK29" s="32">
        <v>0</v>
      </c>
      <c r="AL29" s="33">
        <v>0</v>
      </c>
      <c r="AM29" s="33">
        <v>1</v>
      </c>
      <c r="AN29" s="33">
        <v>0</v>
      </c>
      <c r="AO29" s="34">
        <v>0</v>
      </c>
    </row>
    <row r="30" spans="37:41" x14ac:dyDescent="0.2">
      <c r="AK30" s="32">
        <v>0</v>
      </c>
      <c r="AL30" s="33">
        <v>0</v>
      </c>
      <c r="AM30" s="33">
        <v>1</v>
      </c>
      <c r="AN30" s="33">
        <v>0</v>
      </c>
      <c r="AO30" s="34">
        <v>0</v>
      </c>
    </row>
    <row r="31" spans="37:41" x14ac:dyDescent="0.2">
      <c r="AK31" s="32">
        <v>0</v>
      </c>
      <c r="AL31" s="33">
        <v>0</v>
      </c>
      <c r="AM31" s="33">
        <v>0</v>
      </c>
      <c r="AN31" s="33">
        <v>0</v>
      </c>
      <c r="AO31" s="34">
        <v>0</v>
      </c>
    </row>
    <row r="32" spans="37:41" x14ac:dyDescent="0.2">
      <c r="AK32" s="32">
        <v>0</v>
      </c>
      <c r="AL32" s="33">
        <v>0</v>
      </c>
      <c r="AM32" s="33">
        <v>0</v>
      </c>
      <c r="AN32" s="33">
        <v>0</v>
      </c>
      <c r="AO32" s="34">
        <v>0</v>
      </c>
    </row>
    <row r="33" spans="1:59" x14ac:dyDescent="0.2">
      <c r="AK33" s="32">
        <v>0</v>
      </c>
      <c r="AL33" s="33">
        <v>0</v>
      </c>
      <c r="AM33" s="33">
        <v>0</v>
      </c>
      <c r="AN33" s="33">
        <v>0</v>
      </c>
      <c r="AO33" s="34">
        <v>0</v>
      </c>
    </row>
    <row r="34" spans="1:59" x14ac:dyDescent="0.2">
      <c r="AK34" s="32">
        <v>0</v>
      </c>
      <c r="AL34" s="33">
        <v>0</v>
      </c>
      <c r="AM34" s="33">
        <v>0</v>
      </c>
      <c r="AN34" s="33">
        <v>0</v>
      </c>
      <c r="AO34" s="34">
        <v>0</v>
      </c>
    </row>
    <row r="35" spans="1:59" x14ac:dyDescent="0.2">
      <c r="AK35" s="32">
        <v>0</v>
      </c>
      <c r="AL35" s="33">
        <v>0</v>
      </c>
      <c r="AM35" s="33">
        <v>0</v>
      </c>
      <c r="AN35" s="33">
        <v>0</v>
      </c>
      <c r="AO35" s="34">
        <v>0</v>
      </c>
    </row>
    <row r="36" spans="1:59" x14ac:dyDescent="0.2">
      <c r="AK36" s="32">
        <v>0</v>
      </c>
      <c r="AL36" s="33">
        <v>0</v>
      </c>
      <c r="AM36" s="33">
        <v>0</v>
      </c>
      <c r="AN36" s="33">
        <v>0</v>
      </c>
      <c r="AO36" s="34">
        <v>0</v>
      </c>
    </row>
    <row r="37" spans="1:59" x14ac:dyDescent="0.2">
      <c r="A37" s="25" t="s">
        <v>57</v>
      </c>
      <c r="AK37" s="25" t="s">
        <v>35</v>
      </c>
      <c r="AQ37" s="25" t="s">
        <v>62</v>
      </c>
      <c r="AW37" s="25" t="s">
        <v>135</v>
      </c>
    </row>
    <row r="38" spans="1:59" x14ac:dyDescent="0.2">
      <c r="A38" s="56">
        <v>0</v>
      </c>
      <c r="B38" s="57">
        <v>0</v>
      </c>
      <c r="C38" s="57">
        <v>1</v>
      </c>
      <c r="D38" s="57">
        <v>0</v>
      </c>
      <c r="E38" s="58">
        <v>0</v>
      </c>
      <c r="F38" s="56">
        <v>0</v>
      </c>
      <c r="G38" s="57">
        <v>1</v>
      </c>
      <c r="H38" s="57">
        <v>0</v>
      </c>
      <c r="I38" s="57">
        <v>1</v>
      </c>
      <c r="J38" s="58">
        <v>0</v>
      </c>
      <c r="K38" s="56">
        <v>1</v>
      </c>
      <c r="L38" s="57">
        <v>0</v>
      </c>
      <c r="M38" s="57">
        <v>0</v>
      </c>
      <c r="N38" s="57">
        <v>0</v>
      </c>
      <c r="O38" s="58">
        <v>1</v>
      </c>
      <c r="P38" s="56">
        <v>1</v>
      </c>
      <c r="Q38" s="57">
        <v>0</v>
      </c>
      <c r="R38" s="57">
        <v>0</v>
      </c>
      <c r="S38" s="57">
        <v>0</v>
      </c>
      <c r="T38" s="58">
        <v>1</v>
      </c>
      <c r="U38" s="56">
        <v>1</v>
      </c>
      <c r="V38" s="57">
        <v>1</v>
      </c>
      <c r="W38" s="57">
        <v>1</v>
      </c>
      <c r="X38" s="57">
        <v>1</v>
      </c>
      <c r="Y38" s="58">
        <v>1</v>
      </c>
      <c r="Z38" s="56">
        <v>1</v>
      </c>
      <c r="AA38" s="57">
        <v>0</v>
      </c>
      <c r="AB38" s="57">
        <v>0</v>
      </c>
      <c r="AC38" s="57">
        <v>0</v>
      </c>
      <c r="AD38" s="58">
        <v>1</v>
      </c>
      <c r="AE38" s="56">
        <v>1</v>
      </c>
      <c r="AF38" s="57">
        <v>0</v>
      </c>
      <c r="AG38" s="57">
        <v>0</v>
      </c>
      <c r="AH38" s="57">
        <v>0</v>
      </c>
      <c r="AI38" s="58">
        <v>1</v>
      </c>
      <c r="AK38">
        <f t="array" ref="AK38:AO40">SIGN(MMULT(A38:AI40,AK2:AO36))</f>
        <v>0</v>
      </c>
      <c r="AL38">
        <v>0</v>
      </c>
      <c r="AM38">
        <v>0</v>
      </c>
      <c r="AN38">
        <v>0</v>
      </c>
      <c r="AO38">
        <v>1</v>
      </c>
      <c r="AQ38" s="56">
        <v>0</v>
      </c>
      <c r="AR38" s="57">
        <v>0</v>
      </c>
      <c r="AS38" s="57">
        <v>0</v>
      </c>
      <c r="AT38" s="57">
        <v>0</v>
      </c>
      <c r="AU38" s="58">
        <v>1</v>
      </c>
      <c r="AW38">
        <f>AK38-AQ38</f>
        <v>0</v>
      </c>
      <c r="AX38" s="25">
        <f t="shared" ref="AX38:BA38" si="0">AL38-AR38</f>
        <v>0</v>
      </c>
      <c r="AY38" s="25">
        <f t="shared" si="0"/>
        <v>0</v>
      </c>
      <c r="AZ38" s="25">
        <f t="shared" si="0"/>
        <v>0</v>
      </c>
      <c r="BA38" s="25">
        <f t="shared" si="0"/>
        <v>0</v>
      </c>
      <c r="BC38">
        <f>AW38^2</f>
        <v>0</v>
      </c>
      <c r="BD38" s="25">
        <f t="shared" ref="BD38:BG38" si="1">AX38^2</f>
        <v>0</v>
      </c>
      <c r="BE38" s="25">
        <f t="shared" si="1"/>
        <v>0</v>
      </c>
      <c r="BF38" s="25">
        <f t="shared" si="1"/>
        <v>0</v>
      </c>
      <c r="BG38" s="25">
        <f t="shared" si="1"/>
        <v>0</v>
      </c>
    </row>
    <row r="39" spans="1:59" x14ac:dyDescent="0.2">
      <c r="A39" s="56">
        <v>1</v>
      </c>
      <c r="B39" s="57">
        <v>1</v>
      </c>
      <c r="C39" s="57">
        <v>1</v>
      </c>
      <c r="D39" s="57">
        <v>1</v>
      </c>
      <c r="E39" s="58">
        <v>0</v>
      </c>
      <c r="F39" s="56">
        <v>1</v>
      </c>
      <c r="G39" s="57">
        <v>0</v>
      </c>
      <c r="H39" s="57">
        <v>0</v>
      </c>
      <c r="I39" s="57">
        <v>0</v>
      </c>
      <c r="J39" s="58">
        <v>1</v>
      </c>
      <c r="K39" s="56">
        <v>1</v>
      </c>
      <c r="L39" s="57">
        <v>0</v>
      </c>
      <c r="M39" s="57">
        <v>0</v>
      </c>
      <c r="N39" s="57">
        <v>0</v>
      </c>
      <c r="O39" s="58">
        <v>1</v>
      </c>
      <c r="P39" s="56">
        <v>1</v>
      </c>
      <c r="Q39" s="57">
        <v>1</v>
      </c>
      <c r="R39" s="57">
        <v>1</v>
      </c>
      <c r="S39" s="57">
        <v>1</v>
      </c>
      <c r="T39" s="58">
        <v>0</v>
      </c>
      <c r="U39" s="56">
        <v>1</v>
      </c>
      <c r="V39" s="57">
        <v>0</v>
      </c>
      <c r="W39" s="57">
        <v>0</v>
      </c>
      <c r="X39" s="57">
        <v>0</v>
      </c>
      <c r="Y39" s="58">
        <v>1</v>
      </c>
      <c r="Z39" s="56">
        <v>1</v>
      </c>
      <c r="AA39" s="57">
        <v>0</v>
      </c>
      <c r="AB39" s="57">
        <v>0</v>
      </c>
      <c r="AC39" s="57">
        <v>0</v>
      </c>
      <c r="AD39" s="58">
        <v>1</v>
      </c>
      <c r="AE39" s="56">
        <v>1</v>
      </c>
      <c r="AF39" s="57">
        <v>1</v>
      </c>
      <c r="AG39" s="57">
        <v>1</v>
      </c>
      <c r="AH39" s="57">
        <v>1</v>
      </c>
      <c r="AI39" s="58">
        <v>0</v>
      </c>
      <c r="AK39">
        <v>1</v>
      </c>
      <c r="AL39">
        <v>0</v>
      </c>
      <c r="AM39">
        <v>1</v>
      </c>
      <c r="AN39">
        <v>0</v>
      </c>
      <c r="AO39">
        <v>1</v>
      </c>
      <c r="AQ39" s="56">
        <v>1</v>
      </c>
      <c r="AR39" s="57">
        <v>0</v>
      </c>
      <c r="AS39" s="57">
        <v>1</v>
      </c>
      <c r="AT39" s="57">
        <v>0</v>
      </c>
      <c r="AU39" s="59">
        <v>1</v>
      </c>
      <c r="AW39" s="25">
        <f t="shared" ref="AW39:AW40" si="2">AK39-AQ39</f>
        <v>0</v>
      </c>
      <c r="AX39" s="25">
        <f t="shared" ref="AX39:AX40" si="3">AL39-AR39</f>
        <v>0</v>
      </c>
      <c r="AY39" s="25">
        <f t="shared" ref="AY39:AY40" si="4">AM39-AS39</f>
        <v>0</v>
      </c>
      <c r="AZ39" s="25">
        <f t="shared" ref="AZ39:AZ40" si="5">AN39-AT39</f>
        <v>0</v>
      </c>
      <c r="BA39" s="25">
        <f t="shared" ref="BA39:BA40" si="6">AO39-AU39</f>
        <v>0</v>
      </c>
      <c r="BC39" s="25">
        <f t="shared" ref="BC39:BC40" si="7">AW39^2</f>
        <v>0</v>
      </c>
      <c r="BD39" s="25">
        <f t="shared" ref="BD39:BD40" si="8">AX39^2</f>
        <v>0</v>
      </c>
      <c r="BE39" s="25">
        <f t="shared" ref="BE39:BE40" si="9">AY39^2</f>
        <v>0</v>
      </c>
      <c r="BF39" s="25">
        <f t="shared" ref="BF39:BF40" si="10">AZ39^2</f>
        <v>0</v>
      </c>
      <c r="BG39" s="25">
        <f t="shared" ref="BG39:BG40" si="11">BA39^2</f>
        <v>0</v>
      </c>
    </row>
    <row r="40" spans="1:59" x14ac:dyDescent="0.2">
      <c r="A40" s="56">
        <v>0</v>
      </c>
      <c r="B40" s="57">
        <v>1</v>
      </c>
      <c r="C40" s="57">
        <v>1</v>
      </c>
      <c r="D40" s="57">
        <v>1</v>
      </c>
      <c r="E40" s="58">
        <v>0</v>
      </c>
      <c r="F40" s="56">
        <v>1</v>
      </c>
      <c r="G40" s="57">
        <v>0</v>
      </c>
      <c r="H40" s="57">
        <v>0</v>
      </c>
      <c r="I40" s="57">
        <v>0</v>
      </c>
      <c r="J40" s="58">
        <v>1</v>
      </c>
      <c r="K40" s="56">
        <v>1</v>
      </c>
      <c r="L40" s="57">
        <v>0</v>
      </c>
      <c r="M40" s="57">
        <v>0</v>
      </c>
      <c r="N40" s="57">
        <v>0</v>
      </c>
      <c r="O40" s="58">
        <v>0</v>
      </c>
      <c r="P40" s="56">
        <v>1</v>
      </c>
      <c r="Q40" s="57">
        <v>0</v>
      </c>
      <c r="R40" s="57">
        <v>0</v>
      </c>
      <c r="S40" s="57">
        <v>0</v>
      </c>
      <c r="T40" s="58">
        <v>0</v>
      </c>
      <c r="U40" s="56">
        <v>1</v>
      </c>
      <c r="V40" s="57">
        <v>0</v>
      </c>
      <c r="W40" s="57">
        <v>0</v>
      </c>
      <c r="X40" s="57">
        <v>0</v>
      </c>
      <c r="Y40" s="58">
        <v>0</v>
      </c>
      <c r="Z40" s="56">
        <v>1</v>
      </c>
      <c r="AA40" s="57">
        <v>0</v>
      </c>
      <c r="AB40" s="57">
        <v>0</v>
      </c>
      <c r="AC40" s="57">
        <v>0</v>
      </c>
      <c r="AD40" s="58">
        <v>1</v>
      </c>
      <c r="AE40" s="56">
        <v>0</v>
      </c>
      <c r="AF40" s="57">
        <v>1</v>
      </c>
      <c r="AG40" s="57">
        <v>1</v>
      </c>
      <c r="AH40" s="57">
        <v>1</v>
      </c>
      <c r="AI40" s="58">
        <v>0</v>
      </c>
      <c r="AK40">
        <v>0</v>
      </c>
      <c r="AL40">
        <v>0</v>
      </c>
      <c r="AM40">
        <v>1</v>
      </c>
      <c r="AN40">
        <v>0</v>
      </c>
      <c r="AO40">
        <v>1</v>
      </c>
      <c r="AQ40" s="56">
        <v>0</v>
      </c>
      <c r="AR40" s="57">
        <v>0</v>
      </c>
      <c r="AS40" s="57">
        <v>1</v>
      </c>
      <c r="AT40" s="57">
        <v>0</v>
      </c>
      <c r="AU40" s="59">
        <v>1</v>
      </c>
      <c r="AW40" s="25">
        <f t="shared" si="2"/>
        <v>0</v>
      </c>
      <c r="AX40" s="25">
        <f t="shared" si="3"/>
        <v>0</v>
      </c>
      <c r="AY40" s="25">
        <f t="shared" si="4"/>
        <v>0</v>
      </c>
      <c r="AZ40" s="25">
        <f t="shared" si="5"/>
        <v>0</v>
      </c>
      <c r="BA40" s="25">
        <f t="shared" si="6"/>
        <v>0</v>
      </c>
      <c r="BC40" s="25">
        <f t="shared" si="7"/>
        <v>0</v>
      </c>
      <c r="BD40" s="25">
        <f t="shared" si="8"/>
        <v>0</v>
      </c>
      <c r="BE40" s="25">
        <f t="shared" si="9"/>
        <v>0</v>
      </c>
      <c r="BF40" s="25">
        <f t="shared" si="10"/>
        <v>0</v>
      </c>
      <c r="BG40" s="25">
        <f t="shared" si="11"/>
        <v>0</v>
      </c>
    </row>
    <row r="42" spans="1:59" x14ac:dyDescent="0.2">
      <c r="BC42">
        <f>SUM(BC38:BG40)</f>
        <v>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Dot Pattern</vt:lpstr>
      <vt:lpstr>Perceptron</vt:lpstr>
      <vt:lpstr>Percep</vt:lpstr>
      <vt:lpstr>Solver_based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はじめての人工知能</dc:creator>
  <cp:lastModifiedBy>原組</cp:lastModifiedBy>
  <cp:lastPrinted>2015-02-25T12:10:22Z</cp:lastPrinted>
  <dcterms:created xsi:type="dcterms:W3CDTF">2015-02-19T05:29:22Z</dcterms:created>
  <dcterms:modified xsi:type="dcterms:W3CDTF">2019-12-25T20:37:21Z</dcterms:modified>
</cp:coreProperties>
</file>